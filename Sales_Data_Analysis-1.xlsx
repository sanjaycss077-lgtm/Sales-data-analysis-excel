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 Dashboard" sheetId="2" state="visible" r:id="rId4"/>
    <sheet name="Charts" sheetId="3" state="visible" r:id="rId5"/>
    <sheet name="Leader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<sst xmlns="http://schemas.openxmlformats.org/spreadsheetml/2006/main" count="952" uniqueCount="336">
  <si>
    <t xml:space="preserve">🏆  SALES DATA ANALYSIS  |  FY 2024</t>
  </si>
  <si>
    <t xml:space="preserve">Order ID</t>
  </si>
  <si>
    <t xml:space="preserve">Date</t>
  </si>
  <si>
    <t xml:space="preserve">Salesperson</t>
  </si>
  <si>
    <t xml:space="preserve">Region</t>
  </si>
  <si>
    <t xml:space="preserve">Product</t>
  </si>
  <si>
    <t xml:space="preserve">Category</t>
  </si>
  <si>
    <t xml:space="preserve">Units Sold</t>
  </si>
  <si>
    <t xml:space="preserve">Unit Price ($)</t>
  </si>
  <si>
    <t xml:space="preserve">Revenue ($)</t>
  </si>
  <si>
    <t xml:space="preserve">Profit ($)</t>
  </si>
  <si>
    <t xml:space="preserve">ORD-1001</t>
  </si>
  <si>
    <t xml:space="preserve">2024-01-08</t>
  </si>
  <si>
    <t xml:space="preserve">Alice Johnson</t>
  </si>
  <si>
    <t xml:space="preserve">North</t>
  </si>
  <si>
    <t xml:space="preserve">Training</t>
  </si>
  <si>
    <t xml:space="preserve">Services</t>
  </si>
  <si>
    <t xml:space="preserve">ORD-1002</t>
  </si>
  <si>
    <t xml:space="preserve">2024-01-03</t>
  </si>
  <si>
    <t xml:space="preserve">Carol White</t>
  </si>
  <si>
    <t xml:space="preserve">South</t>
  </si>
  <si>
    <t xml:space="preserve">Support Plan</t>
  </si>
  <si>
    <t xml:space="preserve">ORD-1003</t>
  </si>
  <si>
    <t xml:space="preserve">Grace Kim</t>
  </si>
  <si>
    <t xml:space="preserve">West</t>
  </si>
  <si>
    <t xml:space="preserve">Laptop</t>
  </si>
  <si>
    <t xml:space="preserve">Electronics</t>
  </si>
  <si>
    <t xml:space="preserve">ORD-1004</t>
  </si>
  <si>
    <t xml:space="preserve">2024-01-14</t>
  </si>
  <si>
    <t xml:space="preserve">ORD-1005</t>
  </si>
  <si>
    <t xml:space="preserve">2024-01-25</t>
  </si>
  <si>
    <t xml:space="preserve">David Brown</t>
  </si>
  <si>
    <t xml:space="preserve">ORD-1006</t>
  </si>
  <si>
    <t xml:space="preserve">2024-01-07</t>
  </si>
  <si>
    <t xml:space="preserve">Analytics Pro</t>
  </si>
  <si>
    <t xml:space="preserve">Software</t>
  </si>
  <si>
    <t xml:space="preserve">ORD-1007</t>
  </si>
  <si>
    <t xml:space="preserve">2024-01-12</t>
  </si>
  <si>
    <t xml:space="preserve">Eva Martinez</t>
  </si>
  <si>
    <t xml:space="preserve">East</t>
  </si>
  <si>
    <t xml:space="preserve">Tablet</t>
  </si>
  <si>
    <t xml:space="preserve">ORD-1008</t>
  </si>
  <si>
    <t xml:space="preserve">2024-01-18</t>
  </si>
  <si>
    <t xml:space="preserve">Frank Lee</t>
  </si>
  <si>
    <t xml:space="preserve">Headphones</t>
  </si>
  <si>
    <t xml:space="preserve">ORD-1009</t>
  </si>
  <si>
    <t xml:space="preserve">2024-01-27</t>
  </si>
  <si>
    <t xml:space="preserve">Bob Smith</t>
  </si>
  <si>
    <t xml:space="preserve">ORD-1010</t>
  </si>
  <si>
    <t xml:space="preserve">2024-01-22</t>
  </si>
  <si>
    <t xml:space="preserve">Consulting</t>
  </si>
  <si>
    <t xml:space="preserve">ORD-1011</t>
  </si>
  <si>
    <t xml:space="preserve">2024-01-13</t>
  </si>
  <si>
    <t xml:space="preserve">ORD-1012</t>
  </si>
  <si>
    <t xml:space="preserve">ORD-1013</t>
  </si>
  <si>
    <t xml:space="preserve">2024-01-20</t>
  </si>
  <si>
    <t xml:space="preserve">ORD-1014</t>
  </si>
  <si>
    <t xml:space="preserve">2024-02-09</t>
  </si>
  <si>
    <t xml:space="preserve">ORD-1015</t>
  </si>
  <si>
    <t xml:space="preserve">2024-02-26</t>
  </si>
  <si>
    <t xml:space="preserve">ORD-1016</t>
  </si>
  <si>
    <t xml:space="preserve">2024-02-19</t>
  </si>
  <si>
    <t xml:space="preserve">CRM Suite</t>
  </si>
  <si>
    <t xml:space="preserve">ORD-1017</t>
  </si>
  <si>
    <t xml:space="preserve">2024-02-21</t>
  </si>
  <si>
    <t xml:space="preserve">ORD-1018</t>
  </si>
  <si>
    <t xml:space="preserve">2024-02-24</t>
  </si>
  <si>
    <t xml:space="preserve">ORD-1019</t>
  </si>
  <si>
    <t xml:space="preserve">2024-02-08</t>
  </si>
  <si>
    <t xml:space="preserve">ORD-1020</t>
  </si>
  <si>
    <t xml:space="preserve">2024-02-05</t>
  </si>
  <si>
    <t xml:space="preserve">ORD-1021</t>
  </si>
  <si>
    <t xml:space="preserve">2024-02-13</t>
  </si>
  <si>
    <t xml:space="preserve">ORD-1022</t>
  </si>
  <si>
    <t xml:space="preserve">2024-02-22</t>
  </si>
  <si>
    <t xml:space="preserve">Henry Davis</t>
  </si>
  <si>
    <t xml:space="preserve">ORD-1023</t>
  </si>
  <si>
    <t xml:space="preserve">2024-02-06</t>
  </si>
  <si>
    <t xml:space="preserve">ORD-1024</t>
  </si>
  <si>
    <t xml:space="preserve">2024-02-17</t>
  </si>
  <si>
    <t xml:space="preserve">ORD-1025</t>
  </si>
  <si>
    <t xml:space="preserve">2024-02-20</t>
  </si>
  <si>
    <t xml:space="preserve">ORD-1026</t>
  </si>
  <si>
    <t xml:space="preserve">2024-02-25</t>
  </si>
  <si>
    <t xml:space="preserve">ORD-1027</t>
  </si>
  <si>
    <t xml:space="preserve">2024-03-12</t>
  </si>
  <si>
    <t xml:space="preserve">ORD-1028</t>
  </si>
  <si>
    <t xml:space="preserve">2024-03-03</t>
  </si>
  <si>
    <t xml:space="preserve">ORD-1029</t>
  </si>
  <si>
    <t xml:space="preserve">2024-03-05</t>
  </si>
  <si>
    <t xml:space="preserve">ORD-1030</t>
  </si>
  <si>
    <t xml:space="preserve">2024-03-14</t>
  </si>
  <si>
    <t xml:space="preserve">Security Pack</t>
  </si>
  <si>
    <t xml:space="preserve">ORD-1031</t>
  </si>
  <si>
    <t xml:space="preserve">2024-03-22</t>
  </si>
  <si>
    <t xml:space="preserve">ORD-1032</t>
  </si>
  <si>
    <t xml:space="preserve">2024-03-08</t>
  </si>
  <si>
    <t xml:space="preserve">ORD-1033</t>
  </si>
  <si>
    <t xml:space="preserve">2024-03-18</t>
  </si>
  <si>
    <t xml:space="preserve">ORD-1034</t>
  </si>
  <si>
    <t xml:space="preserve">ORD-1035</t>
  </si>
  <si>
    <t xml:space="preserve">ORD-1036</t>
  </si>
  <si>
    <t xml:space="preserve">2024-03-24</t>
  </si>
  <si>
    <t xml:space="preserve">ORD-1037</t>
  </si>
  <si>
    <t xml:space="preserve">2024-03-04</t>
  </si>
  <si>
    <t xml:space="preserve">ORD-1038</t>
  </si>
  <si>
    <t xml:space="preserve">2024-03-15</t>
  </si>
  <si>
    <t xml:space="preserve">ORD-1039</t>
  </si>
  <si>
    <t xml:space="preserve">2024-04-26</t>
  </si>
  <si>
    <t xml:space="preserve">ORD-1040</t>
  </si>
  <si>
    <t xml:space="preserve">2024-04-15</t>
  </si>
  <si>
    <t xml:space="preserve">ORD-1041</t>
  </si>
  <si>
    <t xml:space="preserve">2024-04-08</t>
  </si>
  <si>
    <t xml:space="preserve">ORD-1042</t>
  </si>
  <si>
    <t xml:space="preserve">2024-04-21</t>
  </si>
  <si>
    <t xml:space="preserve">ORD-1043</t>
  </si>
  <si>
    <t xml:space="preserve">2024-04-16</t>
  </si>
  <si>
    <t xml:space="preserve">ORD-1044</t>
  </si>
  <si>
    <t xml:space="preserve">2024-04-13</t>
  </si>
  <si>
    <t xml:space="preserve">ORD-1045</t>
  </si>
  <si>
    <t xml:space="preserve">2024-04-14</t>
  </si>
  <si>
    <t xml:space="preserve">ORD-1046</t>
  </si>
  <si>
    <t xml:space="preserve">2024-04-02</t>
  </si>
  <si>
    <t xml:space="preserve">ORD-1047</t>
  </si>
  <si>
    <t xml:space="preserve">ORD-1048</t>
  </si>
  <si>
    <t xml:space="preserve">2024-04-03</t>
  </si>
  <si>
    <t xml:space="preserve">ORD-1049</t>
  </si>
  <si>
    <t xml:space="preserve">ORD-1050</t>
  </si>
  <si>
    <t xml:space="preserve">2024-04-19</t>
  </si>
  <si>
    <t xml:space="preserve">ORD-1051</t>
  </si>
  <si>
    <t xml:space="preserve">ORD-1052</t>
  </si>
  <si>
    <t xml:space="preserve">ORD-1053</t>
  </si>
  <si>
    <t xml:space="preserve">2024-05-04</t>
  </si>
  <si>
    <t xml:space="preserve">ORD-1054</t>
  </si>
  <si>
    <t xml:space="preserve">2024-05-12</t>
  </si>
  <si>
    <t xml:space="preserve">ORD-1055</t>
  </si>
  <si>
    <t xml:space="preserve">2024-05-15</t>
  </si>
  <si>
    <t xml:space="preserve">ORD-1056</t>
  </si>
  <si>
    <t xml:space="preserve">2024-05-22</t>
  </si>
  <si>
    <t xml:space="preserve">ORD-1057</t>
  </si>
  <si>
    <t xml:space="preserve">2024-05-24</t>
  </si>
  <si>
    <t xml:space="preserve">ORD-1058</t>
  </si>
  <si>
    <t xml:space="preserve">2024-05-23</t>
  </si>
  <si>
    <t xml:space="preserve">ORD-1059</t>
  </si>
  <si>
    <t xml:space="preserve">2024-05-17</t>
  </si>
  <si>
    <t xml:space="preserve">ORD-1060</t>
  </si>
  <si>
    <t xml:space="preserve">2024-05-27</t>
  </si>
  <si>
    <t xml:space="preserve">ORD-1061</t>
  </si>
  <si>
    <t xml:space="preserve">2024-05-21</t>
  </si>
  <si>
    <t xml:space="preserve">ORD-1062</t>
  </si>
  <si>
    <t xml:space="preserve">ORD-1063</t>
  </si>
  <si>
    <t xml:space="preserve">2024-06-18</t>
  </si>
  <si>
    <t xml:space="preserve">ORD-1064</t>
  </si>
  <si>
    <t xml:space="preserve">2024-06-14</t>
  </si>
  <si>
    <t xml:space="preserve">ORD-1065</t>
  </si>
  <si>
    <t xml:space="preserve">2024-06-12</t>
  </si>
  <si>
    <t xml:space="preserve">ORD-1066</t>
  </si>
  <si>
    <t xml:space="preserve">2024-06-25</t>
  </si>
  <si>
    <t xml:space="preserve">ORD-1067</t>
  </si>
  <si>
    <t xml:space="preserve">ORD-1068</t>
  </si>
  <si>
    <t xml:space="preserve">2024-06-26</t>
  </si>
  <si>
    <t xml:space="preserve">ORD-1069</t>
  </si>
  <si>
    <t xml:space="preserve">2024-06-13</t>
  </si>
  <si>
    <t xml:space="preserve">ORD-1070</t>
  </si>
  <si>
    <t xml:space="preserve">ORD-1071</t>
  </si>
  <si>
    <t xml:space="preserve">ORD-1072</t>
  </si>
  <si>
    <t xml:space="preserve">2024-06-21</t>
  </si>
  <si>
    <t xml:space="preserve">ORD-1073</t>
  </si>
  <si>
    <t xml:space="preserve">2024-06-06</t>
  </si>
  <si>
    <t xml:space="preserve">ORD-1074</t>
  </si>
  <si>
    <t xml:space="preserve">2024-07-12</t>
  </si>
  <si>
    <t xml:space="preserve">ORD-1075</t>
  </si>
  <si>
    <t xml:space="preserve">2024-07-13</t>
  </si>
  <si>
    <t xml:space="preserve">ORD-1076</t>
  </si>
  <si>
    <t xml:space="preserve">2024-07-01</t>
  </si>
  <si>
    <t xml:space="preserve">ORD-1077</t>
  </si>
  <si>
    <t xml:space="preserve">2024-07-20</t>
  </si>
  <si>
    <t xml:space="preserve">ORD-1078</t>
  </si>
  <si>
    <t xml:space="preserve">2024-07-10</t>
  </si>
  <si>
    <t xml:space="preserve">ORD-1079</t>
  </si>
  <si>
    <t xml:space="preserve">2024-07-18</t>
  </si>
  <si>
    <t xml:space="preserve">ORD-1080</t>
  </si>
  <si>
    <t xml:space="preserve">2024-07-22</t>
  </si>
  <si>
    <t xml:space="preserve">ORD-1081</t>
  </si>
  <si>
    <t xml:space="preserve">ORD-1082</t>
  </si>
  <si>
    <t xml:space="preserve">2024-07-21</t>
  </si>
  <si>
    <t xml:space="preserve">ORD-1083</t>
  </si>
  <si>
    <t xml:space="preserve">2024-07-17</t>
  </si>
  <si>
    <t xml:space="preserve">ORD-1084</t>
  </si>
  <si>
    <t xml:space="preserve">ORD-1085</t>
  </si>
  <si>
    <t xml:space="preserve">2024-07-08</t>
  </si>
  <si>
    <t xml:space="preserve">ORD-1086</t>
  </si>
  <si>
    <t xml:space="preserve">2024-08-16</t>
  </si>
  <si>
    <t xml:space="preserve">ORD-1087</t>
  </si>
  <si>
    <t xml:space="preserve">2024-08-07</t>
  </si>
  <si>
    <t xml:space="preserve">ORD-1088</t>
  </si>
  <si>
    <t xml:space="preserve">2024-08-21</t>
  </si>
  <si>
    <t xml:space="preserve">ORD-1089</t>
  </si>
  <si>
    <t xml:space="preserve">2024-08-26</t>
  </si>
  <si>
    <t xml:space="preserve">ORD-1090</t>
  </si>
  <si>
    <t xml:space="preserve">2024-08-15</t>
  </si>
  <si>
    <t xml:space="preserve">ORD-1091</t>
  </si>
  <si>
    <t xml:space="preserve">2024-08-20</t>
  </si>
  <si>
    <t xml:space="preserve">ORD-1092</t>
  </si>
  <si>
    <t xml:space="preserve">2024-08-14</t>
  </si>
  <si>
    <t xml:space="preserve">ORD-1093</t>
  </si>
  <si>
    <t xml:space="preserve">2024-08-09</t>
  </si>
  <si>
    <t xml:space="preserve">ORD-1094</t>
  </si>
  <si>
    <t xml:space="preserve">ORD-1095</t>
  </si>
  <si>
    <t xml:space="preserve">ORD-1096</t>
  </si>
  <si>
    <t xml:space="preserve">2024-08-05</t>
  </si>
  <si>
    <t xml:space="preserve">ORD-1097</t>
  </si>
  <si>
    <t xml:space="preserve">2024-08-03</t>
  </si>
  <si>
    <t xml:space="preserve">ORD-1098</t>
  </si>
  <si>
    <t xml:space="preserve">ORD-1099</t>
  </si>
  <si>
    <t xml:space="preserve">2024-08-23</t>
  </si>
  <si>
    <t xml:space="preserve">ORD-1100</t>
  </si>
  <si>
    <t xml:space="preserve">2024-09-25</t>
  </si>
  <si>
    <t xml:space="preserve">ORD-1101</t>
  </si>
  <si>
    <t xml:space="preserve">2024-09-26</t>
  </si>
  <si>
    <t xml:space="preserve">ORD-1102</t>
  </si>
  <si>
    <t xml:space="preserve">2024-09-16</t>
  </si>
  <si>
    <t xml:space="preserve">ORD-1103</t>
  </si>
  <si>
    <t xml:space="preserve">2024-09-24</t>
  </si>
  <si>
    <t xml:space="preserve">ORD-1104</t>
  </si>
  <si>
    <t xml:space="preserve">2024-09-01</t>
  </si>
  <si>
    <t xml:space="preserve">ORD-1105</t>
  </si>
  <si>
    <t xml:space="preserve">2024-09-05</t>
  </si>
  <si>
    <t xml:space="preserve">ORD-1106</t>
  </si>
  <si>
    <t xml:space="preserve">2024-09-11</t>
  </si>
  <si>
    <t xml:space="preserve">ORD-1107</t>
  </si>
  <si>
    <t xml:space="preserve">2024-09-09</t>
  </si>
  <si>
    <t xml:space="preserve">ORD-1108</t>
  </si>
  <si>
    <t xml:space="preserve">2024-10-24</t>
  </si>
  <si>
    <t xml:space="preserve">ORD-1109</t>
  </si>
  <si>
    <t xml:space="preserve">2024-10-25</t>
  </si>
  <si>
    <t xml:space="preserve">ORD-1110</t>
  </si>
  <si>
    <t xml:space="preserve">2024-10-20</t>
  </si>
  <si>
    <t xml:space="preserve">ORD-1111</t>
  </si>
  <si>
    <t xml:space="preserve">2024-10-19</t>
  </si>
  <si>
    <t xml:space="preserve">ORD-1112</t>
  </si>
  <si>
    <t xml:space="preserve">2024-10-06</t>
  </si>
  <si>
    <t xml:space="preserve">ORD-1113</t>
  </si>
  <si>
    <t xml:space="preserve">2024-10-01</t>
  </si>
  <si>
    <t xml:space="preserve">ORD-1114</t>
  </si>
  <si>
    <t xml:space="preserve">2024-10-03</t>
  </si>
  <si>
    <t xml:space="preserve">ORD-1115</t>
  </si>
  <si>
    <t xml:space="preserve">2024-10-26</t>
  </si>
  <si>
    <t xml:space="preserve">ORD-1116</t>
  </si>
  <si>
    <t xml:space="preserve">2024-10-22</t>
  </si>
  <si>
    <t xml:space="preserve">ORD-1117</t>
  </si>
  <si>
    <t xml:space="preserve">ORD-1118</t>
  </si>
  <si>
    <t xml:space="preserve">2024-10-21</t>
  </si>
  <si>
    <t xml:space="preserve">ORD-1119</t>
  </si>
  <si>
    <t xml:space="preserve">ORD-1120</t>
  </si>
  <si>
    <t xml:space="preserve">2024-10-09</t>
  </si>
  <si>
    <t xml:space="preserve">ORD-1121</t>
  </si>
  <si>
    <t xml:space="preserve">2024-10-08</t>
  </si>
  <si>
    <t xml:space="preserve">ORD-1122</t>
  </si>
  <si>
    <t xml:space="preserve">2024-11-28</t>
  </si>
  <si>
    <t xml:space="preserve">ORD-1123</t>
  </si>
  <si>
    <t xml:space="preserve">2024-11-26</t>
  </si>
  <si>
    <t xml:space="preserve">ORD-1124</t>
  </si>
  <si>
    <t xml:space="preserve">2024-11-18</t>
  </si>
  <si>
    <t xml:space="preserve">ORD-1125</t>
  </si>
  <si>
    <t xml:space="preserve">2024-11-16</t>
  </si>
  <si>
    <t xml:space="preserve">ORD-1126</t>
  </si>
  <si>
    <t xml:space="preserve">2024-11-15</t>
  </si>
  <si>
    <t xml:space="preserve">ORD-1127</t>
  </si>
  <si>
    <t xml:space="preserve">2024-11-23</t>
  </si>
  <si>
    <t xml:space="preserve">ORD-1128</t>
  </si>
  <si>
    <t xml:space="preserve">ORD-1129</t>
  </si>
  <si>
    <t xml:space="preserve">2024-11-12</t>
  </si>
  <si>
    <t xml:space="preserve">ORD-1130</t>
  </si>
  <si>
    <t xml:space="preserve">2024-11-04</t>
  </si>
  <si>
    <t xml:space="preserve">ORD-1131</t>
  </si>
  <si>
    <t xml:space="preserve">2024-11-25</t>
  </si>
  <si>
    <t xml:space="preserve">ORD-1132</t>
  </si>
  <si>
    <t xml:space="preserve">2024-11-09</t>
  </si>
  <si>
    <t xml:space="preserve">ORD-1133</t>
  </si>
  <si>
    <t xml:space="preserve">ORD-1134</t>
  </si>
  <si>
    <t xml:space="preserve">2024-11-05</t>
  </si>
  <si>
    <t xml:space="preserve">ORD-1135</t>
  </si>
  <si>
    <t xml:space="preserve">ORD-1136</t>
  </si>
  <si>
    <t xml:space="preserve">2024-12-16</t>
  </si>
  <si>
    <t xml:space="preserve">ORD-1137</t>
  </si>
  <si>
    <t xml:space="preserve">2024-12-09</t>
  </si>
  <si>
    <t xml:space="preserve">ORD-1138</t>
  </si>
  <si>
    <t xml:space="preserve">2024-12-03</t>
  </si>
  <si>
    <t xml:space="preserve">ORD-1139</t>
  </si>
  <si>
    <t xml:space="preserve">ORD-1140</t>
  </si>
  <si>
    <t xml:space="preserve">2024-12-20</t>
  </si>
  <si>
    <t xml:space="preserve">ORD-1141</t>
  </si>
  <si>
    <t xml:space="preserve">2024-12-28</t>
  </si>
  <si>
    <t xml:space="preserve">ORD-1142</t>
  </si>
  <si>
    <t xml:space="preserve">ORD-1143</t>
  </si>
  <si>
    <t xml:space="preserve">2024-12-22</t>
  </si>
  <si>
    <t xml:space="preserve">ORD-1144</t>
  </si>
  <si>
    <t xml:space="preserve">TOTALS</t>
  </si>
  <si>
    <t xml:space="preserve">📊  EXECUTIVE SUMMARY DASHBOARD  |  FY 2024</t>
  </si>
  <si>
    <t xml:space="preserve">Total Revenue ($)</t>
  </si>
  <si>
    <t xml:space="preserve">Total Profit ($)</t>
  </si>
  <si>
    <t xml:space="preserve">Total Orders</t>
  </si>
  <si>
    <t xml:space="preserve">Total Units Sold</t>
  </si>
  <si>
    <t xml:space="preserve">Avg Order Revenue ($)</t>
  </si>
  <si>
    <t xml:space="preserve">Profit Margin (%)</t>
  </si>
  <si>
    <t xml:space="preserve">Monthly Revenue &amp; Profit</t>
  </si>
  <si>
    <t xml:space="preserve">Revenue by Region</t>
  </si>
  <si>
    <t xml:space="preserve">Month</t>
  </si>
  <si>
    <t xml:space="preserve">Units</t>
  </si>
  <si>
    <t xml:space="preserve">Orders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</si>
  <si>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</si>
  <si>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</si>
  <si>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</si>
  <si>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</si>
  <si>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</si>
  <si>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TOTAL</t>
  </si>
  <si>
    <t xml:space="preserve">Jun</t>
  </si>
  <si>
    <t xml:space="preserve">Jul</t>
  </si>
  <si>
    <t xml:space="preserve">Revenue by Category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</si>
  <si>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</si>
  <si>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</si>
  <si>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</si>
  <si>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</si>
  <si>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</si>
  <si>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📈  VISUAL ANALYTICS  |  FY 2024</t>
  </si>
  <si>
    <t xml:space="preserve">🥇  SALESPERSON LEADERBOARD  |  FY 2024</t>
  </si>
  <si>
    <t xml:space="preserve">Rank</t>
  </si>
  <si>
    <t xml:space="preserve">🥇 1st</t>
  </si>
  <si>
    <t xml:space="preserve">🥈 2nd</t>
  </si>
  <si>
    <t xml:space="preserve">🥉 3rd</t>
  </si>
  <si>
    <t xml:space="preserve">#4</t>
  </si>
  <si>
    <t xml:space="preserve">#5</t>
  </si>
  <si>
    <t xml:space="preserve">#6</t>
  </si>
  <si>
    <t xml:space="preserve">#7</t>
  </si>
  <si>
    <t xml:space="preserve">#8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</si>
</sst>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#,##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Dashboard'!B9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Dashboard'!$B$10:$B$21</c:f>
              <c:numCache>
                <c:formatCode>#,##0.00</c:formatCode>
                <c:ptCount val="12"/>
                <c:pt idx="0">
                  <c:v>24005</c:v>
                </c:pt>
                <c:pt idx="1">
                  <c:v>65190</c:v>
                </c:pt>
                <c:pt idx="2">
                  <c:v>95800</c:v>
                </c:pt>
                <c:pt idx="3">
                  <c:v>103235</c:v>
                </c:pt>
                <c:pt idx="4">
                  <c:v>41300</c:v>
                </c:pt>
                <c:pt idx="5">
                  <c:v>42665</c:v>
                </c:pt>
                <c:pt idx="6">
                  <c:v>46750</c:v>
                </c:pt>
                <c:pt idx="7">
                  <c:v>62600</c:v>
                </c:pt>
                <c:pt idx="8">
                  <c:v>32290</c:v>
                </c:pt>
                <c:pt idx="9">
                  <c:v>86665</c:v>
                </c:pt>
                <c:pt idx="10">
                  <c:v>82660</c:v>
                </c:pt>
                <c:pt idx="11">
                  <c:v>37870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'Summary Dashboard'!C9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Dashboard'!$C$10:$C$21</c:f>
              <c:numCache>
                <c:formatCode>#,##0.00</c:formatCode>
                <c:ptCount val="12"/>
                <c:pt idx="0">
                  <c:v>9350.4</c:v>
                </c:pt>
                <c:pt idx="1">
                  <c:v>37268.7</c:v>
                </c:pt>
                <c:pt idx="2">
                  <c:v>55847</c:v>
                </c:pt>
                <c:pt idx="3">
                  <c:v>45113.8</c:v>
                </c:pt>
                <c:pt idx="4">
                  <c:v>19721</c:v>
                </c:pt>
                <c:pt idx="5">
                  <c:v>11919.2</c:v>
                </c:pt>
                <c:pt idx="6">
                  <c:v>28605</c:v>
                </c:pt>
                <c:pt idx="7">
                  <c:v>35791</c:v>
                </c:pt>
                <c:pt idx="8">
                  <c:v>15355.2</c:v>
                </c:pt>
                <c:pt idx="9">
                  <c:v>52629.2</c:v>
                </c:pt>
                <c:pt idx="10">
                  <c:v>47979.8</c:v>
                </c:pt>
                <c:pt idx="11">
                  <c:v>15112.1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457245"/>
        <c:axId val="21232712"/>
      </c:lineChart>
      <c:catAx>
        <c:axId val="774572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32712"/>
        <c:crosses val="autoZero"/>
        <c:auto val="1"/>
        <c:lblAlgn val="ctr"/>
        <c:lblOffset val="100"/>
        <c:noMultiLvlLbl val="0"/>
      </c:catAx>
      <c:valAx>
        <c:axId val="21232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57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Dashboard'!H9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Dashboard'!$G$10:$G$13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'Summary Dashboard'!$H$10:$H$13</c:f>
              <c:numCache>
                <c:formatCode>#,##0.00</c:formatCode>
                <c:ptCount val="4"/>
                <c:pt idx="0">
                  <c:v>274895</c:v>
                </c:pt>
                <c:pt idx="1">
                  <c:v>159670</c:v>
                </c:pt>
                <c:pt idx="2">
                  <c:v>127935</c:v>
                </c:pt>
                <c:pt idx="3">
                  <c:v>158530</c:v>
                </c:pt>
              </c:numCache>
            </c:numRef>
          </c:val>
        </c:ser>
        <c:gapWidth val="150"/>
        <c:overlap val="0"/>
        <c:axId val="66595917"/>
        <c:axId val="15308585"/>
      </c:barChart>
      <c:catAx>
        <c:axId val="66595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08585"/>
        <c:crosses val="autoZero"/>
        <c:auto val="1"/>
        <c:lblAlgn val="ctr"/>
        <c:lblOffset val="100"/>
        <c:noMultiLvlLbl val="0"/>
      </c:catAx>
      <c:valAx>
        <c:axId val="15308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95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Dashboard'!H17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Dashboard'!$G$18:$G$20</c:f>
              <c:strCache>
                <c:ptCount val="3"/>
                <c:pt idx="0">
                  <c:v>Electronics</c:v>
                </c:pt>
                <c:pt idx="1">
                  <c:v>Software</c:v>
                </c:pt>
                <c:pt idx="2">
                  <c:v>Services</c:v>
                </c:pt>
              </c:strCache>
            </c:strRef>
          </c:cat>
          <c:val>
            <c:numRef>
              <c:f>'Summary Dashboard'!$H$18:$H$20</c:f>
              <c:numCache>
                <c:formatCode>#,##0.00</c:formatCode>
                <c:ptCount val="3"/>
                <c:pt idx="0">
                  <c:v>226030</c:v>
                </c:pt>
                <c:pt idx="1">
                  <c:v>423300</c:v>
                </c:pt>
                <c:pt idx="2">
                  <c:v>71700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473040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0" y="5716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255960</xdr:colOff>
      <xdr:row>24</xdr:row>
      <xdr:rowOff>128880</xdr:rowOff>
    </xdr:to>
    <xdr:graphicFrame>
      <xdr:nvGraphicFramePr>
        <xdr:cNvPr id="1" name="Chart 2"/>
        <xdr:cNvGraphicFramePr/>
      </xdr:nvGraphicFramePr>
      <xdr:xfrm>
        <a:off x="611496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255960</xdr:colOff>
      <xdr:row>49</xdr:row>
      <xdr:rowOff>128880</xdr:rowOff>
    </xdr:to>
    <xdr:graphicFrame>
      <xdr:nvGraphicFramePr>
        <xdr:cNvPr id="2" name="Chart 3"/>
        <xdr:cNvGraphicFramePr/>
      </xdr:nvGraphicFramePr>
      <xdr:xfrm>
        <a:off x="0" y="53341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n">
        <v>8</v>
      </c>
      <c r="H3" s="5" t="n">
        <v>200</v>
      </c>
      <c r="I3" s="5" t="n">
        <v>1600</v>
      </c>
      <c r="J3" s="5" t="n">
        <v>800</v>
      </c>
    </row>
    <row r="4" customFormat="false" ht="15" hidden="false" customHeight="fals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16</v>
      </c>
      <c r="G4" s="7" t="n">
        <v>18</v>
      </c>
      <c r="H4" s="8" t="n">
        <v>100</v>
      </c>
      <c r="I4" s="8" t="n">
        <v>1800</v>
      </c>
      <c r="J4" s="8" t="n">
        <v>810</v>
      </c>
    </row>
    <row r="5" customFormat="false" ht="15" hidden="false" customHeight="false" outlineLevel="0" collapsed="false">
      <c r="A5" s="3" t="s">
        <v>22</v>
      </c>
      <c r="B5" s="3" t="s">
        <v>12</v>
      </c>
      <c r="C5" s="3" t="s">
        <v>23</v>
      </c>
      <c r="D5" s="3" t="s">
        <v>24</v>
      </c>
      <c r="E5" s="3" t="s">
        <v>25</v>
      </c>
      <c r="F5" s="3" t="s">
        <v>26</v>
      </c>
      <c r="G5" s="4" t="n">
        <v>7</v>
      </c>
      <c r="H5" s="5" t="n">
        <v>850</v>
      </c>
      <c r="I5" s="5" t="n">
        <v>5950</v>
      </c>
      <c r="J5" s="5" t="n">
        <v>1309</v>
      </c>
    </row>
    <row r="6" customFormat="false" ht="15" hidden="false" customHeight="false" outlineLevel="0" collapsed="false">
      <c r="A6" s="6" t="s">
        <v>27</v>
      </c>
      <c r="B6" s="6" t="s">
        <v>28</v>
      </c>
      <c r="C6" s="6" t="s">
        <v>13</v>
      </c>
      <c r="D6" s="6" t="s">
        <v>14</v>
      </c>
      <c r="E6" s="6" t="s">
        <v>21</v>
      </c>
      <c r="F6" s="6" t="s">
        <v>16</v>
      </c>
      <c r="G6" s="7" t="n">
        <v>18</v>
      </c>
      <c r="H6" s="8" t="n">
        <v>100</v>
      </c>
      <c r="I6" s="8" t="n">
        <v>1800</v>
      </c>
      <c r="J6" s="8" t="n">
        <v>810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20</v>
      </c>
      <c r="E7" s="3" t="s">
        <v>15</v>
      </c>
      <c r="F7" s="3" t="s">
        <v>16</v>
      </c>
      <c r="G7" s="4" t="n">
        <v>1</v>
      </c>
      <c r="H7" s="5" t="n">
        <v>200</v>
      </c>
      <c r="I7" s="5" t="n">
        <v>200</v>
      </c>
      <c r="J7" s="5" t="n">
        <v>100</v>
      </c>
    </row>
    <row r="8" customFormat="false" ht="15" hidden="false" customHeight="false" outlineLevel="0" collapsed="false">
      <c r="A8" s="6" t="s">
        <v>32</v>
      </c>
      <c r="B8" s="6" t="s">
        <v>33</v>
      </c>
      <c r="C8" s="6" t="s">
        <v>31</v>
      </c>
      <c r="D8" s="6" t="s">
        <v>20</v>
      </c>
      <c r="E8" s="6" t="s">
        <v>34</v>
      </c>
      <c r="F8" s="6" t="s">
        <v>35</v>
      </c>
      <c r="G8" s="7" t="n">
        <v>5</v>
      </c>
      <c r="H8" s="8" t="n">
        <v>800</v>
      </c>
      <c r="I8" s="8" t="n">
        <v>4000</v>
      </c>
      <c r="J8" s="8" t="n">
        <v>2600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26</v>
      </c>
      <c r="G9" s="4" t="n">
        <v>4</v>
      </c>
      <c r="H9" s="5" t="n">
        <v>320</v>
      </c>
      <c r="I9" s="5" t="n">
        <v>1280</v>
      </c>
      <c r="J9" s="5" t="n">
        <v>358.4</v>
      </c>
    </row>
    <row r="10" customFormat="false" ht="15" hidden="false" customHeight="false" outlineLevel="0" collapsed="false">
      <c r="A10" s="6" t="s">
        <v>41</v>
      </c>
      <c r="B10" s="6" t="s">
        <v>42</v>
      </c>
      <c r="C10" s="6" t="s">
        <v>43</v>
      </c>
      <c r="D10" s="6" t="s">
        <v>39</v>
      </c>
      <c r="E10" s="6" t="s">
        <v>44</v>
      </c>
      <c r="F10" s="6" t="s">
        <v>26</v>
      </c>
      <c r="G10" s="7" t="n">
        <v>15</v>
      </c>
      <c r="H10" s="8" t="n">
        <v>75</v>
      </c>
      <c r="I10" s="8" t="n">
        <v>1125</v>
      </c>
      <c r="J10" s="8" t="n">
        <v>450</v>
      </c>
    </row>
    <row r="11" customFormat="false" ht="15" hidden="false" customHeight="false" outlineLevel="0" collapsed="false">
      <c r="A11" s="3" t="s">
        <v>45</v>
      </c>
      <c r="B11" s="3" t="s">
        <v>46</v>
      </c>
      <c r="C11" s="3" t="s">
        <v>47</v>
      </c>
      <c r="D11" s="3" t="s">
        <v>14</v>
      </c>
      <c r="E11" s="3" t="s">
        <v>44</v>
      </c>
      <c r="F11" s="3" t="s">
        <v>26</v>
      </c>
      <c r="G11" s="4" t="n">
        <v>10</v>
      </c>
      <c r="H11" s="5" t="n">
        <v>75</v>
      </c>
      <c r="I11" s="5" t="n">
        <v>750</v>
      </c>
      <c r="J11" s="5" t="n">
        <v>300</v>
      </c>
    </row>
    <row r="12" customFormat="false" ht="15" hidden="false" customHeight="false" outlineLevel="0" collapsed="false">
      <c r="A12" s="6" t="s">
        <v>48</v>
      </c>
      <c r="B12" s="6" t="s">
        <v>49</v>
      </c>
      <c r="C12" s="6" t="s">
        <v>38</v>
      </c>
      <c r="D12" s="6" t="s">
        <v>39</v>
      </c>
      <c r="E12" s="6" t="s">
        <v>50</v>
      </c>
      <c r="F12" s="6" t="s">
        <v>16</v>
      </c>
      <c r="G12" s="7" t="n">
        <v>2</v>
      </c>
      <c r="H12" s="8" t="n">
        <v>150</v>
      </c>
      <c r="I12" s="8" t="n">
        <v>300</v>
      </c>
      <c r="J12" s="8" t="n">
        <v>165</v>
      </c>
    </row>
    <row r="13" customFormat="false" ht="15" hidden="false" customHeight="false" outlineLevel="0" collapsed="false">
      <c r="A13" s="3" t="s">
        <v>51</v>
      </c>
      <c r="B13" s="3" t="s">
        <v>52</v>
      </c>
      <c r="C13" s="3" t="s">
        <v>31</v>
      </c>
      <c r="D13" s="3" t="s">
        <v>20</v>
      </c>
      <c r="E13" s="3" t="s">
        <v>25</v>
      </c>
      <c r="F13" s="3" t="s">
        <v>26</v>
      </c>
      <c r="G13" s="4" t="n">
        <v>4</v>
      </c>
      <c r="H13" s="5" t="n">
        <v>850</v>
      </c>
      <c r="I13" s="5" t="n">
        <v>3400</v>
      </c>
      <c r="J13" s="5" t="n">
        <v>748</v>
      </c>
    </row>
    <row r="14" customFormat="false" ht="15" hidden="false" customHeight="false" outlineLevel="0" collapsed="false">
      <c r="A14" s="6" t="s">
        <v>53</v>
      </c>
      <c r="B14" s="6" t="s">
        <v>37</v>
      </c>
      <c r="C14" s="6" t="s">
        <v>43</v>
      </c>
      <c r="D14" s="6" t="s">
        <v>39</v>
      </c>
      <c r="E14" s="6" t="s">
        <v>15</v>
      </c>
      <c r="F14" s="6" t="s">
        <v>16</v>
      </c>
      <c r="G14" s="7" t="n">
        <v>6</v>
      </c>
      <c r="H14" s="8" t="n">
        <v>200</v>
      </c>
      <c r="I14" s="8" t="n">
        <v>1200</v>
      </c>
      <c r="J14" s="8" t="n">
        <v>600</v>
      </c>
    </row>
    <row r="15" customFormat="false" ht="15" hidden="false" customHeight="false" outlineLevel="0" collapsed="false">
      <c r="A15" s="3" t="s">
        <v>54</v>
      </c>
      <c r="B15" s="3" t="s">
        <v>55</v>
      </c>
      <c r="C15" s="3" t="s">
        <v>38</v>
      </c>
      <c r="D15" s="3" t="s">
        <v>39</v>
      </c>
      <c r="E15" s="3" t="s">
        <v>15</v>
      </c>
      <c r="F15" s="3" t="s">
        <v>16</v>
      </c>
      <c r="G15" s="4" t="n">
        <v>3</v>
      </c>
      <c r="H15" s="5" t="n">
        <v>200</v>
      </c>
      <c r="I15" s="5" t="n">
        <v>600</v>
      </c>
      <c r="J15" s="5" t="n">
        <v>300</v>
      </c>
    </row>
    <row r="16" customFormat="false" ht="15" hidden="false" customHeight="false" outlineLevel="0" collapsed="false">
      <c r="A16" s="6" t="s">
        <v>56</v>
      </c>
      <c r="B16" s="6" t="s">
        <v>57</v>
      </c>
      <c r="C16" s="6" t="s">
        <v>19</v>
      </c>
      <c r="D16" s="6" t="s">
        <v>20</v>
      </c>
      <c r="E16" s="6" t="s">
        <v>40</v>
      </c>
      <c r="F16" s="6" t="s">
        <v>26</v>
      </c>
      <c r="G16" s="7" t="n">
        <v>13</v>
      </c>
      <c r="H16" s="8" t="n">
        <v>320</v>
      </c>
      <c r="I16" s="8" t="n">
        <v>4160</v>
      </c>
      <c r="J16" s="8" t="n">
        <v>1164.8</v>
      </c>
    </row>
    <row r="17" customFormat="false" ht="15" hidden="false" customHeight="false" outlineLevel="0" collapsed="false">
      <c r="A17" s="3" t="s">
        <v>58</v>
      </c>
      <c r="B17" s="3" t="s">
        <v>59</v>
      </c>
      <c r="C17" s="3" t="s">
        <v>31</v>
      </c>
      <c r="D17" s="3" t="s">
        <v>20</v>
      </c>
      <c r="E17" s="3" t="s">
        <v>25</v>
      </c>
      <c r="F17" s="3" t="s">
        <v>26</v>
      </c>
      <c r="G17" s="4" t="n">
        <v>2</v>
      </c>
      <c r="H17" s="5" t="n">
        <v>850</v>
      </c>
      <c r="I17" s="5" t="n">
        <v>1700</v>
      </c>
      <c r="J17" s="5" t="n">
        <v>374</v>
      </c>
    </row>
    <row r="18" customFormat="false" ht="15" hidden="false" customHeight="false" outlineLevel="0" collapsed="false">
      <c r="A18" s="6" t="s">
        <v>60</v>
      </c>
      <c r="B18" s="6" t="s">
        <v>61</v>
      </c>
      <c r="C18" s="6" t="s">
        <v>43</v>
      </c>
      <c r="D18" s="6" t="s">
        <v>39</v>
      </c>
      <c r="E18" s="6" t="s">
        <v>62</v>
      </c>
      <c r="F18" s="6" t="s">
        <v>35</v>
      </c>
      <c r="G18" s="7" t="n">
        <v>7</v>
      </c>
      <c r="H18" s="8" t="n">
        <v>1200</v>
      </c>
      <c r="I18" s="8" t="n">
        <v>8400</v>
      </c>
      <c r="J18" s="8" t="n">
        <v>5880</v>
      </c>
    </row>
    <row r="19" customFormat="false" ht="15" hidden="false" customHeight="false" outlineLevel="0" collapsed="false">
      <c r="A19" s="3" t="s">
        <v>63</v>
      </c>
      <c r="B19" s="3" t="s">
        <v>64</v>
      </c>
      <c r="C19" s="3" t="s">
        <v>38</v>
      </c>
      <c r="D19" s="3" t="s">
        <v>39</v>
      </c>
      <c r="E19" s="3" t="s">
        <v>15</v>
      </c>
      <c r="F19" s="3" t="s">
        <v>16</v>
      </c>
      <c r="G19" s="4" t="n">
        <v>13</v>
      </c>
      <c r="H19" s="5" t="n">
        <v>200</v>
      </c>
      <c r="I19" s="5" t="n">
        <v>2600</v>
      </c>
      <c r="J19" s="5" t="n">
        <v>1300</v>
      </c>
    </row>
    <row r="20" customFormat="false" ht="15" hidden="false" customHeight="false" outlineLevel="0" collapsed="false">
      <c r="A20" s="6" t="s">
        <v>65</v>
      </c>
      <c r="B20" s="6" t="s">
        <v>66</v>
      </c>
      <c r="C20" s="6" t="s">
        <v>23</v>
      </c>
      <c r="D20" s="6" t="s">
        <v>24</v>
      </c>
      <c r="E20" s="6" t="s">
        <v>62</v>
      </c>
      <c r="F20" s="6" t="s">
        <v>35</v>
      </c>
      <c r="G20" s="7" t="n">
        <v>8</v>
      </c>
      <c r="H20" s="8" t="n">
        <v>1200</v>
      </c>
      <c r="I20" s="8" t="n">
        <v>9600</v>
      </c>
      <c r="J20" s="8" t="n">
        <v>6720</v>
      </c>
    </row>
    <row r="21" customFormat="false" ht="15" hidden="false" customHeight="false" outlineLevel="0" collapsed="false">
      <c r="A21" s="3" t="s">
        <v>67</v>
      </c>
      <c r="B21" s="3" t="s">
        <v>68</v>
      </c>
      <c r="C21" s="3" t="s">
        <v>43</v>
      </c>
      <c r="D21" s="3" t="s">
        <v>39</v>
      </c>
      <c r="E21" s="3" t="s">
        <v>15</v>
      </c>
      <c r="F21" s="3" t="s">
        <v>16</v>
      </c>
      <c r="G21" s="4" t="n">
        <v>12</v>
      </c>
      <c r="H21" s="5" t="n">
        <v>200</v>
      </c>
      <c r="I21" s="5" t="n">
        <v>2400</v>
      </c>
      <c r="J21" s="5" t="n">
        <v>1200</v>
      </c>
    </row>
    <row r="22" customFormat="false" ht="15" hidden="false" customHeight="false" outlineLevel="0" collapsed="false">
      <c r="A22" s="6" t="s">
        <v>69</v>
      </c>
      <c r="B22" s="6" t="s">
        <v>70</v>
      </c>
      <c r="C22" s="6" t="s">
        <v>31</v>
      </c>
      <c r="D22" s="6" t="s">
        <v>20</v>
      </c>
      <c r="E22" s="6" t="s">
        <v>25</v>
      </c>
      <c r="F22" s="6" t="s">
        <v>26</v>
      </c>
      <c r="G22" s="7" t="n">
        <v>4</v>
      </c>
      <c r="H22" s="8" t="n">
        <v>850</v>
      </c>
      <c r="I22" s="8" t="n">
        <v>3400</v>
      </c>
      <c r="J22" s="8" t="n">
        <v>748</v>
      </c>
    </row>
    <row r="23" customFormat="false" ht="15" hidden="false" customHeight="false" outlineLevel="0" collapsed="false">
      <c r="A23" s="3" t="s">
        <v>71</v>
      </c>
      <c r="B23" s="3" t="s">
        <v>72</v>
      </c>
      <c r="C23" s="3" t="s">
        <v>31</v>
      </c>
      <c r="D23" s="3" t="s">
        <v>20</v>
      </c>
      <c r="E23" s="3" t="s">
        <v>50</v>
      </c>
      <c r="F23" s="3" t="s">
        <v>16</v>
      </c>
      <c r="G23" s="4" t="n">
        <v>13</v>
      </c>
      <c r="H23" s="5" t="n">
        <v>150</v>
      </c>
      <c r="I23" s="5" t="n">
        <v>1950</v>
      </c>
      <c r="J23" s="5" t="n">
        <v>1072.5</v>
      </c>
    </row>
    <row r="24" customFormat="false" ht="15" hidden="false" customHeight="false" outlineLevel="0" collapsed="false">
      <c r="A24" s="6" t="s">
        <v>73</v>
      </c>
      <c r="B24" s="6" t="s">
        <v>74</v>
      </c>
      <c r="C24" s="6" t="s">
        <v>75</v>
      </c>
      <c r="D24" s="6" t="s">
        <v>24</v>
      </c>
      <c r="E24" s="6" t="s">
        <v>50</v>
      </c>
      <c r="F24" s="6" t="s">
        <v>16</v>
      </c>
      <c r="G24" s="7" t="n">
        <v>4</v>
      </c>
      <c r="H24" s="8" t="n">
        <v>150</v>
      </c>
      <c r="I24" s="8" t="n">
        <v>600</v>
      </c>
      <c r="J24" s="8" t="n">
        <v>330</v>
      </c>
    </row>
    <row r="25" customFormat="false" ht="15" hidden="false" customHeight="false" outlineLevel="0" collapsed="false">
      <c r="A25" s="3" t="s">
        <v>76</v>
      </c>
      <c r="B25" s="3" t="s">
        <v>77</v>
      </c>
      <c r="C25" s="3" t="s">
        <v>43</v>
      </c>
      <c r="D25" s="3" t="s">
        <v>39</v>
      </c>
      <c r="E25" s="3" t="s">
        <v>40</v>
      </c>
      <c r="F25" s="3" t="s">
        <v>26</v>
      </c>
      <c r="G25" s="4" t="n">
        <v>14</v>
      </c>
      <c r="H25" s="5" t="n">
        <v>320</v>
      </c>
      <c r="I25" s="5" t="n">
        <v>4480</v>
      </c>
      <c r="J25" s="5" t="n">
        <v>1254.4</v>
      </c>
    </row>
    <row r="26" customFormat="false" ht="15" hidden="false" customHeight="false" outlineLevel="0" collapsed="false">
      <c r="A26" s="6" t="s">
        <v>78</v>
      </c>
      <c r="B26" s="6" t="s">
        <v>79</v>
      </c>
      <c r="C26" s="6" t="s">
        <v>23</v>
      </c>
      <c r="D26" s="6" t="s">
        <v>24</v>
      </c>
      <c r="E26" s="6" t="s">
        <v>21</v>
      </c>
      <c r="F26" s="6" t="s">
        <v>16</v>
      </c>
      <c r="G26" s="7" t="n">
        <v>9</v>
      </c>
      <c r="H26" s="8" t="n">
        <v>100</v>
      </c>
      <c r="I26" s="8" t="n">
        <v>900</v>
      </c>
      <c r="J26" s="8" t="n">
        <v>405</v>
      </c>
    </row>
    <row r="27" customFormat="false" ht="15" hidden="false" customHeight="false" outlineLevel="0" collapsed="false">
      <c r="A27" s="3" t="s">
        <v>80</v>
      </c>
      <c r="B27" s="3" t="s">
        <v>81</v>
      </c>
      <c r="C27" s="3" t="s">
        <v>19</v>
      </c>
      <c r="D27" s="3" t="s">
        <v>20</v>
      </c>
      <c r="E27" s="3" t="s">
        <v>15</v>
      </c>
      <c r="F27" s="3" t="s">
        <v>16</v>
      </c>
      <c r="G27" s="4" t="n">
        <v>17</v>
      </c>
      <c r="H27" s="5" t="n">
        <v>200</v>
      </c>
      <c r="I27" s="5" t="n">
        <v>3400</v>
      </c>
      <c r="J27" s="5" t="n">
        <v>1700</v>
      </c>
    </row>
    <row r="28" customFormat="false" ht="15" hidden="false" customHeight="false" outlineLevel="0" collapsed="false">
      <c r="A28" s="6" t="s">
        <v>82</v>
      </c>
      <c r="B28" s="6" t="s">
        <v>83</v>
      </c>
      <c r="C28" s="6" t="s">
        <v>19</v>
      </c>
      <c r="D28" s="6" t="s">
        <v>20</v>
      </c>
      <c r="E28" s="6" t="s">
        <v>62</v>
      </c>
      <c r="F28" s="6" t="s">
        <v>35</v>
      </c>
      <c r="G28" s="7" t="n">
        <v>18</v>
      </c>
      <c r="H28" s="8" t="n">
        <v>1200</v>
      </c>
      <c r="I28" s="8" t="n">
        <v>21600</v>
      </c>
      <c r="J28" s="8" t="n">
        <v>15120</v>
      </c>
    </row>
    <row r="29" customFormat="false" ht="15" hidden="false" customHeight="false" outlineLevel="0" collapsed="false">
      <c r="A29" s="3" t="s">
        <v>84</v>
      </c>
      <c r="B29" s="3" t="s">
        <v>85</v>
      </c>
      <c r="C29" s="3" t="s">
        <v>47</v>
      </c>
      <c r="D29" s="3" t="s">
        <v>14</v>
      </c>
      <c r="E29" s="3" t="s">
        <v>62</v>
      </c>
      <c r="F29" s="3" t="s">
        <v>35</v>
      </c>
      <c r="G29" s="4" t="n">
        <v>4</v>
      </c>
      <c r="H29" s="5" t="n">
        <v>1200</v>
      </c>
      <c r="I29" s="5" t="n">
        <v>4800</v>
      </c>
      <c r="J29" s="5" t="n">
        <v>3360</v>
      </c>
    </row>
    <row r="30" customFormat="false" ht="15" hidden="false" customHeight="false" outlineLevel="0" collapsed="false">
      <c r="A30" s="6" t="s">
        <v>86</v>
      </c>
      <c r="B30" s="6" t="s">
        <v>87</v>
      </c>
      <c r="C30" s="6" t="s">
        <v>38</v>
      </c>
      <c r="D30" s="6" t="s">
        <v>39</v>
      </c>
      <c r="E30" s="6" t="s">
        <v>25</v>
      </c>
      <c r="F30" s="6" t="s">
        <v>26</v>
      </c>
      <c r="G30" s="7" t="n">
        <v>19</v>
      </c>
      <c r="H30" s="8" t="n">
        <v>850</v>
      </c>
      <c r="I30" s="8" t="n">
        <v>16150</v>
      </c>
      <c r="J30" s="8" t="n">
        <v>3553</v>
      </c>
    </row>
    <row r="31" customFormat="false" ht="15" hidden="false" customHeight="false" outlineLevel="0" collapsed="false">
      <c r="A31" s="3" t="s">
        <v>88</v>
      </c>
      <c r="B31" s="3" t="s">
        <v>89</v>
      </c>
      <c r="C31" s="3" t="s">
        <v>47</v>
      </c>
      <c r="D31" s="3" t="s">
        <v>14</v>
      </c>
      <c r="E31" s="3" t="s">
        <v>44</v>
      </c>
      <c r="F31" s="3" t="s">
        <v>26</v>
      </c>
      <c r="G31" s="4" t="n">
        <v>5</v>
      </c>
      <c r="H31" s="5" t="n">
        <v>75</v>
      </c>
      <c r="I31" s="5" t="n">
        <v>375</v>
      </c>
      <c r="J31" s="5" t="n">
        <v>150</v>
      </c>
    </row>
    <row r="32" customFormat="false" ht="15" hidden="false" customHeight="false" outlineLevel="0" collapsed="false">
      <c r="A32" s="6" t="s">
        <v>90</v>
      </c>
      <c r="B32" s="6" t="s">
        <v>91</v>
      </c>
      <c r="C32" s="6" t="s">
        <v>23</v>
      </c>
      <c r="D32" s="6" t="s">
        <v>24</v>
      </c>
      <c r="E32" s="6" t="s">
        <v>92</v>
      </c>
      <c r="F32" s="6" t="s">
        <v>35</v>
      </c>
      <c r="G32" s="7" t="n">
        <v>20</v>
      </c>
      <c r="H32" s="8" t="n">
        <v>450</v>
      </c>
      <c r="I32" s="8" t="n">
        <v>9000</v>
      </c>
      <c r="J32" s="8" t="n">
        <v>5400</v>
      </c>
    </row>
    <row r="33" customFormat="false" ht="15" hidden="false" customHeight="false" outlineLevel="0" collapsed="false">
      <c r="A33" s="3" t="s">
        <v>93</v>
      </c>
      <c r="B33" s="3" t="s">
        <v>94</v>
      </c>
      <c r="C33" s="3" t="s">
        <v>19</v>
      </c>
      <c r="D33" s="3" t="s">
        <v>20</v>
      </c>
      <c r="E33" s="3" t="s">
        <v>15</v>
      </c>
      <c r="F33" s="3" t="s">
        <v>16</v>
      </c>
      <c r="G33" s="4" t="n">
        <v>13</v>
      </c>
      <c r="H33" s="5" t="n">
        <v>200</v>
      </c>
      <c r="I33" s="5" t="n">
        <v>2600</v>
      </c>
      <c r="J33" s="5" t="n">
        <v>1300</v>
      </c>
    </row>
    <row r="34" customFormat="false" ht="15" hidden="false" customHeight="false" outlineLevel="0" collapsed="false">
      <c r="A34" s="6" t="s">
        <v>95</v>
      </c>
      <c r="B34" s="6" t="s">
        <v>96</v>
      </c>
      <c r="C34" s="6" t="s">
        <v>43</v>
      </c>
      <c r="D34" s="6" t="s">
        <v>39</v>
      </c>
      <c r="E34" s="6" t="s">
        <v>15</v>
      </c>
      <c r="F34" s="6" t="s">
        <v>16</v>
      </c>
      <c r="G34" s="7" t="n">
        <v>4</v>
      </c>
      <c r="H34" s="8" t="n">
        <v>200</v>
      </c>
      <c r="I34" s="8" t="n">
        <v>800</v>
      </c>
      <c r="J34" s="8" t="n">
        <v>400</v>
      </c>
    </row>
    <row r="35" customFormat="false" ht="15" hidden="false" customHeight="false" outlineLevel="0" collapsed="false">
      <c r="A35" s="3" t="s">
        <v>97</v>
      </c>
      <c r="B35" s="3" t="s">
        <v>98</v>
      </c>
      <c r="C35" s="3" t="s">
        <v>19</v>
      </c>
      <c r="D35" s="3" t="s">
        <v>20</v>
      </c>
      <c r="E35" s="3" t="s">
        <v>62</v>
      </c>
      <c r="F35" s="3" t="s">
        <v>35</v>
      </c>
      <c r="G35" s="4" t="n">
        <v>19</v>
      </c>
      <c r="H35" s="5" t="n">
        <v>1200</v>
      </c>
      <c r="I35" s="5" t="n">
        <v>22800</v>
      </c>
      <c r="J35" s="5" t="n">
        <v>15960</v>
      </c>
    </row>
    <row r="36" customFormat="false" ht="15" hidden="false" customHeight="false" outlineLevel="0" collapsed="false">
      <c r="A36" s="6" t="s">
        <v>99</v>
      </c>
      <c r="B36" s="6" t="s">
        <v>96</v>
      </c>
      <c r="C36" s="6" t="s">
        <v>19</v>
      </c>
      <c r="D36" s="6" t="s">
        <v>20</v>
      </c>
      <c r="E36" s="6" t="s">
        <v>25</v>
      </c>
      <c r="F36" s="6" t="s">
        <v>26</v>
      </c>
      <c r="G36" s="7" t="n">
        <v>2</v>
      </c>
      <c r="H36" s="8" t="n">
        <v>850</v>
      </c>
      <c r="I36" s="8" t="n">
        <v>1700</v>
      </c>
      <c r="J36" s="8" t="n">
        <v>374</v>
      </c>
    </row>
    <row r="37" customFormat="false" ht="15" hidden="false" customHeight="false" outlineLevel="0" collapsed="false">
      <c r="A37" s="3" t="s">
        <v>100</v>
      </c>
      <c r="B37" s="3" t="s">
        <v>96</v>
      </c>
      <c r="C37" s="3" t="s">
        <v>13</v>
      </c>
      <c r="D37" s="3" t="s">
        <v>14</v>
      </c>
      <c r="E37" s="3" t="s">
        <v>62</v>
      </c>
      <c r="F37" s="3" t="s">
        <v>35</v>
      </c>
      <c r="G37" s="4" t="n">
        <v>17</v>
      </c>
      <c r="H37" s="5" t="n">
        <v>1200</v>
      </c>
      <c r="I37" s="5" t="n">
        <v>20400</v>
      </c>
      <c r="J37" s="5" t="n">
        <v>14280</v>
      </c>
    </row>
    <row r="38" customFormat="false" ht="15" hidden="false" customHeight="false" outlineLevel="0" collapsed="false">
      <c r="A38" s="6" t="s">
        <v>101</v>
      </c>
      <c r="B38" s="6" t="s">
        <v>102</v>
      </c>
      <c r="C38" s="6" t="s">
        <v>43</v>
      </c>
      <c r="D38" s="6" t="s">
        <v>39</v>
      </c>
      <c r="E38" s="6" t="s">
        <v>44</v>
      </c>
      <c r="F38" s="6" t="s">
        <v>26</v>
      </c>
      <c r="G38" s="7" t="n">
        <v>5</v>
      </c>
      <c r="H38" s="8" t="n">
        <v>75</v>
      </c>
      <c r="I38" s="8" t="n">
        <v>375</v>
      </c>
      <c r="J38" s="8" t="n">
        <v>150</v>
      </c>
    </row>
    <row r="39" customFormat="false" ht="15" hidden="false" customHeight="false" outlineLevel="0" collapsed="false">
      <c r="A39" s="3" t="s">
        <v>103</v>
      </c>
      <c r="B39" s="3" t="s">
        <v>104</v>
      </c>
      <c r="C39" s="3" t="s">
        <v>23</v>
      </c>
      <c r="D39" s="3" t="s">
        <v>24</v>
      </c>
      <c r="E39" s="3" t="s">
        <v>34</v>
      </c>
      <c r="F39" s="3" t="s">
        <v>35</v>
      </c>
      <c r="G39" s="4" t="n">
        <v>7</v>
      </c>
      <c r="H39" s="5" t="n">
        <v>800</v>
      </c>
      <c r="I39" s="5" t="n">
        <v>5600</v>
      </c>
      <c r="J39" s="5" t="n">
        <v>3640</v>
      </c>
    </row>
    <row r="40" customFormat="false" ht="15" hidden="false" customHeight="false" outlineLevel="0" collapsed="false">
      <c r="A40" s="6" t="s">
        <v>105</v>
      </c>
      <c r="B40" s="6" t="s">
        <v>106</v>
      </c>
      <c r="C40" s="6" t="s">
        <v>47</v>
      </c>
      <c r="D40" s="6" t="s">
        <v>14</v>
      </c>
      <c r="E40" s="6" t="s">
        <v>34</v>
      </c>
      <c r="F40" s="6" t="s">
        <v>35</v>
      </c>
      <c r="G40" s="7" t="n">
        <v>14</v>
      </c>
      <c r="H40" s="8" t="n">
        <v>800</v>
      </c>
      <c r="I40" s="8" t="n">
        <v>11200</v>
      </c>
      <c r="J40" s="8" t="n">
        <v>7280</v>
      </c>
    </row>
    <row r="41" customFormat="false" ht="15" hidden="false" customHeight="false" outlineLevel="0" collapsed="false">
      <c r="A41" s="3" t="s">
        <v>107</v>
      </c>
      <c r="B41" s="3" t="s">
        <v>108</v>
      </c>
      <c r="C41" s="3" t="s">
        <v>13</v>
      </c>
      <c r="D41" s="3" t="s">
        <v>14</v>
      </c>
      <c r="E41" s="3" t="s">
        <v>40</v>
      </c>
      <c r="F41" s="3" t="s">
        <v>26</v>
      </c>
      <c r="G41" s="4" t="n">
        <v>11</v>
      </c>
      <c r="H41" s="5" t="n">
        <v>320</v>
      </c>
      <c r="I41" s="5" t="n">
        <v>3520</v>
      </c>
      <c r="J41" s="5" t="n">
        <v>985.6</v>
      </c>
    </row>
    <row r="42" customFormat="false" ht="15" hidden="false" customHeight="false" outlineLevel="0" collapsed="false">
      <c r="A42" s="6" t="s">
        <v>109</v>
      </c>
      <c r="B42" s="6" t="s">
        <v>110</v>
      </c>
      <c r="C42" s="6" t="s">
        <v>13</v>
      </c>
      <c r="D42" s="6" t="s">
        <v>14</v>
      </c>
      <c r="E42" s="6" t="s">
        <v>25</v>
      </c>
      <c r="F42" s="6" t="s">
        <v>26</v>
      </c>
      <c r="G42" s="7" t="n">
        <v>18</v>
      </c>
      <c r="H42" s="8" t="n">
        <v>850</v>
      </c>
      <c r="I42" s="8" t="n">
        <v>15300</v>
      </c>
      <c r="J42" s="8" t="n">
        <v>3366</v>
      </c>
    </row>
    <row r="43" customFormat="false" ht="15" hidden="false" customHeight="false" outlineLevel="0" collapsed="false">
      <c r="A43" s="3" t="s">
        <v>111</v>
      </c>
      <c r="B43" s="3" t="s">
        <v>112</v>
      </c>
      <c r="C43" s="3" t="s">
        <v>31</v>
      </c>
      <c r="D43" s="3" t="s">
        <v>20</v>
      </c>
      <c r="E43" s="3" t="s">
        <v>40</v>
      </c>
      <c r="F43" s="3" t="s">
        <v>26</v>
      </c>
      <c r="G43" s="4" t="n">
        <v>15</v>
      </c>
      <c r="H43" s="5" t="n">
        <v>320</v>
      </c>
      <c r="I43" s="5" t="n">
        <v>4800</v>
      </c>
      <c r="J43" s="5" t="n">
        <v>1344</v>
      </c>
    </row>
    <row r="44" customFormat="false" ht="15" hidden="false" customHeight="false" outlineLevel="0" collapsed="false">
      <c r="A44" s="6" t="s">
        <v>113</v>
      </c>
      <c r="B44" s="6" t="s">
        <v>114</v>
      </c>
      <c r="C44" s="6" t="s">
        <v>47</v>
      </c>
      <c r="D44" s="6" t="s">
        <v>14</v>
      </c>
      <c r="E44" s="6" t="s">
        <v>50</v>
      </c>
      <c r="F44" s="6" t="s">
        <v>16</v>
      </c>
      <c r="G44" s="7" t="n">
        <v>2</v>
      </c>
      <c r="H44" s="8" t="n">
        <v>150</v>
      </c>
      <c r="I44" s="8" t="n">
        <v>300</v>
      </c>
      <c r="J44" s="8" t="n">
        <v>165</v>
      </c>
    </row>
    <row r="45" customFormat="false" ht="15" hidden="false" customHeight="false" outlineLevel="0" collapsed="false">
      <c r="A45" s="3" t="s">
        <v>115</v>
      </c>
      <c r="B45" s="3" t="s">
        <v>116</v>
      </c>
      <c r="C45" s="3" t="s">
        <v>13</v>
      </c>
      <c r="D45" s="3" t="s">
        <v>14</v>
      </c>
      <c r="E45" s="3" t="s">
        <v>25</v>
      </c>
      <c r="F45" s="3" t="s">
        <v>26</v>
      </c>
      <c r="G45" s="4" t="n">
        <v>14</v>
      </c>
      <c r="H45" s="5" t="n">
        <v>850</v>
      </c>
      <c r="I45" s="5" t="n">
        <v>11900</v>
      </c>
      <c r="J45" s="5" t="n">
        <v>2618</v>
      </c>
    </row>
    <row r="46" customFormat="false" ht="15" hidden="false" customHeight="false" outlineLevel="0" collapsed="false">
      <c r="A46" s="6" t="s">
        <v>117</v>
      </c>
      <c r="B46" s="6" t="s">
        <v>118</v>
      </c>
      <c r="C46" s="6" t="s">
        <v>23</v>
      </c>
      <c r="D46" s="6" t="s">
        <v>24</v>
      </c>
      <c r="E46" s="6" t="s">
        <v>62</v>
      </c>
      <c r="F46" s="6" t="s">
        <v>35</v>
      </c>
      <c r="G46" s="7" t="n">
        <v>6</v>
      </c>
      <c r="H46" s="8" t="n">
        <v>1200</v>
      </c>
      <c r="I46" s="8" t="n">
        <v>7200</v>
      </c>
      <c r="J46" s="8" t="n">
        <v>5040</v>
      </c>
    </row>
    <row r="47" customFormat="false" ht="15" hidden="false" customHeight="false" outlineLevel="0" collapsed="false">
      <c r="A47" s="3" t="s">
        <v>119</v>
      </c>
      <c r="B47" s="3" t="s">
        <v>120</v>
      </c>
      <c r="C47" s="3" t="s">
        <v>47</v>
      </c>
      <c r="D47" s="3" t="s">
        <v>14</v>
      </c>
      <c r="E47" s="3" t="s">
        <v>34</v>
      </c>
      <c r="F47" s="3" t="s">
        <v>35</v>
      </c>
      <c r="G47" s="4" t="n">
        <v>10</v>
      </c>
      <c r="H47" s="5" t="n">
        <v>800</v>
      </c>
      <c r="I47" s="5" t="n">
        <v>8000</v>
      </c>
      <c r="J47" s="5" t="n">
        <v>5200</v>
      </c>
    </row>
    <row r="48" customFormat="false" ht="15" hidden="false" customHeight="false" outlineLevel="0" collapsed="false">
      <c r="A48" s="6" t="s">
        <v>121</v>
      </c>
      <c r="B48" s="6" t="s">
        <v>122</v>
      </c>
      <c r="C48" s="6" t="s">
        <v>23</v>
      </c>
      <c r="D48" s="6" t="s">
        <v>24</v>
      </c>
      <c r="E48" s="6" t="s">
        <v>40</v>
      </c>
      <c r="F48" s="6" t="s">
        <v>26</v>
      </c>
      <c r="G48" s="7" t="n">
        <v>7</v>
      </c>
      <c r="H48" s="8" t="n">
        <v>320</v>
      </c>
      <c r="I48" s="8" t="n">
        <v>2240</v>
      </c>
      <c r="J48" s="8" t="n">
        <v>627.2</v>
      </c>
    </row>
    <row r="49" customFormat="false" ht="15" hidden="false" customHeight="false" outlineLevel="0" collapsed="false">
      <c r="A49" s="3" t="s">
        <v>123</v>
      </c>
      <c r="B49" s="3" t="s">
        <v>116</v>
      </c>
      <c r="C49" s="3" t="s">
        <v>47</v>
      </c>
      <c r="D49" s="3" t="s">
        <v>14</v>
      </c>
      <c r="E49" s="3" t="s">
        <v>25</v>
      </c>
      <c r="F49" s="3" t="s">
        <v>26</v>
      </c>
      <c r="G49" s="4" t="n">
        <v>19</v>
      </c>
      <c r="H49" s="5" t="n">
        <v>850</v>
      </c>
      <c r="I49" s="5" t="n">
        <v>16150</v>
      </c>
      <c r="J49" s="5" t="n">
        <v>3553</v>
      </c>
    </row>
    <row r="50" customFormat="false" ht="15" hidden="false" customHeight="false" outlineLevel="0" collapsed="false">
      <c r="A50" s="6" t="s">
        <v>124</v>
      </c>
      <c r="B50" s="6" t="s">
        <v>125</v>
      </c>
      <c r="C50" s="6" t="s">
        <v>19</v>
      </c>
      <c r="D50" s="6" t="s">
        <v>20</v>
      </c>
      <c r="E50" s="6" t="s">
        <v>50</v>
      </c>
      <c r="F50" s="6" t="s">
        <v>16</v>
      </c>
      <c r="G50" s="7" t="n">
        <v>6</v>
      </c>
      <c r="H50" s="8" t="n">
        <v>150</v>
      </c>
      <c r="I50" s="8" t="n">
        <v>900</v>
      </c>
      <c r="J50" s="8" t="n">
        <v>495</v>
      </c>
    </row>
    <row r="51" customFormat="false" ht="15" hidden="false" customHeight="false" outlineLevel="0" collapsed="false">
      <c r="A51" s="3" t="s">
        <v>126</v>
      </c>
      <c r="B51" s="3" t="s">
        <v>112</v>
      </c>
      <c r="C51" s="3" t="s">
        <v>13</v>
      </c>
      <c r="D51" s="3" t="s">
        <v>14</v>
      </c>
      <c r="E51" s="3" t="s">
        <v>62</v>
      </c>
      <c r="F51" s="3" t="s">
        <v>35</v>
      </c>
      <c r="G51" s="4" t="n">
        <v>19</v>
      </c>
      <c r="H51" s="5" t="n">
        <v>1200</v>
      </c>
      <c r="I51" s="5" t="n">
        <v>22800</v>
      </c>
      <c r="J51" s="5" t="n">
        <v>15960</v>
      </c>
    </row>
    <row r="52" customFormat="false" ht="15" hidden="false" customHeight="false" outlineLevel="0" collapsed="false">
      <c r="A52" s="6" t="s">
        <v>127</v>
      </c>
      <c r="B52" s="6" t="s">
        <v>128</v>
      </c>
      <c r="C52" s="6" t="s">
        <v>13</v>
      </c>
      <c r="D52" s="6" t="s">
        <v>14</v>
      </c>
      <c r="E52" s="6" t="s">
        <v>92</v>
      </c>
      <c r="F52" s="6" t="s">
        <v>35</v>
      </c>
      <c r="G52" s="7" t="n">
        <v>19</v>
      </c>
      <c r="H52" s="8" t="n">
        <v>450</v>
      </c>
      <c r="I52" s="8" t="n">
        <v>8550</v>
      </c>
      <c r="J52" s="8" t="n">
        <v>5130</v>
      </c>
    </row>
    <row r="53" customFormat="false" ht="15" hidden="false" customHeight="false" outlineLevel="0" collapsed="false">
      <c r="A53" s="3" t="s">
        <v>129</v>
      </c>
      <c r="B53" s="3" t="s">
        <v>112</v>
      </c>
      <c r="C53" s="3" t="s">
        <v>43</v>
      </c>
      <c r="D53" s="3" t="s">
        <v>39</v>
      </c>
      <c r="E53" s="3" t="s">
        <v>44</v>
      </c>
      <c r="F53" s="3" t="s">
        <v>26</v>
      </c>
      <c r="G53" s="4" t="n">
        <v>11</v>
      </c>
      <c r="H53" s="5" t="n">
        <v>75</v>
      </c>
      <c r="I53" s="5" t="n">
        <v>825</v>
      </c>
      <c r="J53" s="5" t="n">
        <v>330</v>
      </c>
    </row>
    <row r="54" customFormat="false" ht="15" hidden="false" customHeight="false" outlineLevel="0" collapsed="false">
      <c r="A54" s="6" t="s">
        <v>130</v>
      </c>
      <c r="B54" s="6" t="s">
        <v>110</v>
      </c>
      <c r="C54" s="6" t="s">
        <v>43</v>
      </c>
      <c r="D54" s="6" t="s">
        <v>39</v>
      </c>
      <c r="E54" s="6" t="s">
        <v>44</v>
      </c>
      <c r="F54" s="6" t="s">
        <v>26</v>
      </c>
      <c r="G54" s="7" t="n">
        <v>10</v>
      </c>
      <c r="H54" s="8" t="n">
        <v>75</v>
      </c>
      <c r="I54" s="8" t="n">
        <v>750</v>
      </c>
      <c r="J54" s="8" t="n">
        <v>300</v>
      </c>
    </row>
    <row r="55" customFormat="false" ht="15" hidden="false" customHeight="false" outlineLevel="0" collapsed="false">
      <c r="A55" s="3" t="s">
        <v>131</v>
      </c>
      <c r="B55" s="3" t="s">
        <v>132</v>
      </c>
      <c r="C55" s="3" t="s">
        <v>13</v>
      </c>
      <c r="D55" s="3" t="s">
        <v>14</v>
      </c>
      <c r="E55" s="3" t="s">
        <v>92</v>
      </c>
      <c r="F55" s="3" t="s">
        <v>35</v>
      </c>
      <c r="G55" s="4" t="n">
        <v>19</v>
      </c>
      <c r="H55" s="5" t="n">
        <v>450</v>
      </c>
      <c r="I55" s="5" t="n">
        <v>8550</v>
      </c>
      <c r="J55" s="5" t="n">
        <v>5130</v>
      </c>
    </row>
    <row r="56" customFormat="false" ht="15" hidden="false" customHeight="false" outlineLevel="0" collapsed="false">
      <c r="A56" s="6" t="s">
        <v>133</v>
      </c>
      <c r="B56" s="6" t="s">
        <v>134</v>
      </c>
      <c r="C56" s="6" t="s">
        <v>13</v>
      </c>
      <c r="D56" s="6" t="s">
        <v>14</v>
      </c>
      <c r="E56" s="6" t="s">
        <v>15</v>
      </c>
      <c r="F56" s="6" t="s">
        <v>16</v>
      </c>
      <c r="G56" s="7" t="n">
        <v>5</v>
      </c>
      <c r="H56" s="8" t="n">
        <v>200</v>
      </c>
      <c r="I56" s="8" t="n">
        <v>1000</v>
      </c>
      <c r="J56" s="8" t="n">
        <v>500</v>
      </c>
    </row>
    <row r="57" customFormat="false" ht="15" hidden="false" customHeight="false" outlineLevel="0" collapsed="false">
      <c r="A57" s="3" t="s">
        <v>135</v>
      </c>
      <c r="B57" s="3" t="s">
        <v>136</v>
      </c>
      <c r="C57" s="3" t="s">
        <v>13</v>
      </c>
      <c r="D57" s="3" t="s">
        <v>14</v>
      </c>
      <c r="E57" s="3" t="s">
        <v>34</v>
      </c>
      <c r="F57" s="3" t="s">
        <v>35</v>
      </c>
      <c r="G57" s="4" t="n">
        <v>6</v>
      </c>
      <c r="H57" s="5" t="n">
        <v>800</v>
      </c>
      <c r="I57" s="5" t="n">
        <v>4800</v>
      </c>
      <c r="J57" s="5" t="n">
        <v>3120</v>
      </c>
    </row>
    <row r="58" customFormat="false" ht="15" hidden="false" customHeight="false" outlineLevel="0" collapsed="false">
      <c r="A58" s="6" t="s">
        <v>137</v>
      </c>
      <c r="B58" s="6" t="s">
        <v>138</v>
      </c>
      <c r="C58" s="6" t="s">
        <v>38</v>
      </c>
      <c r="D58" s="6" t="s">
        <v>39</v>
      </c>
      <c r="E58" s="6" t="s">
        <v>21</v>
      </c>
      <c r="F58" s="6" t="s">
        <v>16</v>
      </c>
      <c r="G58" s="7" t="n">
        <v>10</v>
      </c>
      <c r="H58" s="8" t="n">
        <v>100</v>
      </c>
      <c r="I58" s="8" t="n">
        <v>1000</v>
      </c>
      <c r="J58" s="8" t="n">
        <v>450</v>
      </c>
    </row>
    <row r="59" customFormat="false" ht="15" hidden="false" customHeight="false" outlineLevel="0" collapsed="false">
      <c r="A59" s="3" t="s">
        <v>139</v>
      </c>
      <c r="B59" s="3" t="s">
        <v>140</v>
      </c>
      <c r="C59" s="3" t="s">
        <v>13</v>
      </c>
      <c r="D59" s="3" t="s">
        <v>14</v>
      </c>
      <c r="E59" s="3" t="s">
        <v>62</v>
      </c>
      <c r="F59" s="3" t="s">
        <v>35</v>
      </c>
      <c r="G59" s="4" t="n">
        <v>4</v>
      </c>
      <c r="H59" s="5" t="n">
        <v>1200</v>
      </c>
      <c r="I59" s="5" t="n">
        <v>4800</v>
      </c>
      <c r="J59" s="5" t="n">
        <v>3360</v>
      </c>
    </row>
    <row r="60" customFormat="false" ht="15" hidden="false" customHeight="false" outlineLevel="0" collapsed="false">
      <c r="A60" s="6" t="s">
        <v>141</v>
      </c>
      <c r="B60" s="6" t="s">
        <v>142</v>
      </c>
      <c r="C60" s="6" t="s">
        <v>31</v>
      </c>
      <c r="D60" s="6" t="s">
        <v>20</v>
      </c>
      <c r="E60" s="6" t="s">
        <v>92</v>
      </c>
      <c r="F60" s="6" t="s">
        <v>35</v>
      </c>
      <c r="G60" s="7" t="n">
        <v>7</v>
      </c>
      <c r="H60" s="8" t="n">
        <v>450</v>
      </c>
      <c r="I60" s="8" t="n">
        <v>3150</v>
      </c>
      <c r="J60" s="8" t="n">
        <v>1890</v>
      </c>
    </row>
    <row r="61" customFormat="false" ht="15" hidden="false" customHeight="false" outlineLevel="0" collapsed="false">
      <c r="A61" s="3" t="s">
        <v>143</v>
      </c>
      <c r="B61" s="3" t="s">
        <v>144</v>
      </c>
      <c r="C61" s="3" t="s">
        <v>38</v>
      </c>
      <c r="D61" s="3" t="s">
        <v>39</v>
      </c>
      <c r="E61" s="3" t="s">
        <v>21</v>
      </c>
      <c r="F61" s="3" t="s">
        <v>16</v>
      </c>
      <c r="G61" s="4" t="n">
        <v>9</v>
      </c>
      <c r="H61" s="5" t="n">
        <v>100</v>
      </c>
      <c r="I61" s="5" t="n">
        <v>900</v>
      </c>
      <c r="J61" s="5" t="n">
        <v>405</v>
      </c>
    </row>
    <row r="62" customFormat="false" ht="15" hidden="false" customHeight="false" outlineLevel="0" collapsed="false">
      <c r="A62" s="6" t="s">
        <v>145</v>
      </c>
      <c r="B62" s="6" t="s">
        <v>146</v>
      </c>
      <c r="C62" s="6" t="s">
        <v>75</v>
      </c>
      <c r="D62" s="6" t="s">
        <v>24</v>
      </c>
      <c r="E62" s="6" t="s">
        <v>25</v>
      </c>
      <c r="F62" s="6" t="s">
        <v>26</v>
      </c>
      <c r="G62" s="7" t="n">
        <v>14</v>
      </c>
      <c r="H62" s="8" t="n">
        <v>850</v>
      </c>
      <c r="I62" s="8" t="n">
        <v>11900</v>
      </c>
      <c r="J62" s="8" t="n">
        <v>2618</v>
      </c>
    </row>
    <row r="63" customFormat="false" ht="15" hidden="false" customHeight="false" outlineLevel="0" collapsed="false">
      <c r="A63" s="3" t="s">
        <v>147</v>
      </c>
      <c r="B63" s="3" t="s">
        <v>148</v>
      </c>
      <c r="C63" s="3" t="s">
        <v>38</v>
      </c>
      <c r="D63" s="3" t="s">
        <v>39</v>
      </c>
      <c r="E63" s="3" t="s">
        <v>40</v>
      </c>
      <c r="F63" s="3" t="s">
        <v>26</v>
      </c>
      <c r="G63" s="4" t="n">
        <v>5</v>
      </c>
      <c r="H63" s="5" t="n">
        <v>320</v>
      </c>
      <c r="I63" s="5" t="n">
        <v>1600</v>
      </c>
      <c r="J63" s="5" t="n">
        <v>448</v>
      </c>
    </row>
    <row r="64" customFormat="false" ht="15" hidden="false" customHeight="false" outlineLevel="0" collapsed="false">
      <c r="A64" s="6" t="s">
        <v>149</v>
      </c>
      <c r="B64" s="6" t="s">
        <v>142</v>
      </c>
      <c r="C64" s="6" t="s">
        <v>38</v>
      </c>
      <c r="D64" s="6" t="s">
        <v>39</v>
      </c>
      <c r="E64" s="6" t="s">
        <v>15</v>
      </c>
      <c r="F64" s="6" t="s">
        <v>16</v>
      </c>
      <c r="G64" s="7" t="n">
        <v>18</v>
      </c>
      <c r="H64" s="8" t="n">
        <v>200</v>
      </c>
      <c r="I64" s="8" t="n">
        <v>3600</v>
      </c>
      <c r="J64" s="8" t="n">
        <v>1800</v>
      </c>
    </row>
    <row r="65" customFormat="false" ht="15" hidden="false" customHeight="false" outlineLevel="0" collapsed="false">
      <c r="A65" s="3" t="s">
        <v>150</v>
      </c>
      <c r="B65" s="3" t="s">
        <v>151</v>
      </c>
      <c r="C65" s="3" t="s">
        <v>13</v>
      </c>
      <c r="D65" s="3" t="s">
        <v>14</v>
      </c>
      <c r="E65" s="3" t="s">
        <v>44</v>
      </c>
      <c r="F65" s="3" t="s">
        <v>26</v>
      </c>
      <c r="G65" s="4" t="n">
        <v>5</v>
      </c>
      <c r="H65" s="5" t="n">
        <v>75</v>
      </c>
      <c r="I65" s="5" t="n">
        <v>375</v>
      </c>
      <c r="J65" s="5" t="n">
        <v>150</v>
      </c>
    </row>
    <row r="66" customFormat="false" ht="15" hidden="false" customHeight="false" outlineLevel="0" collapsed="false">
      <c r="A66" s="6" t="s">
        <v>152</v>
      </c>
      <c r="B66" s="6" t="s">
        <v>153</v>
      </c>
      <c r="C66" s="6" t="s">
        <v>47</v>
      </c>
      <c r="D66" s="6" t="s">
        <v>14</v>
      </c>
      <c r="E66" s="6" t="s">
        <v>21</v>
      </c>
      <c r="F66" s="6" t="s">
        <v>16</v>
      </c>
      <c r="G66" s="7" t="n">
        <v>5</v>
      </c>
      <c r="H66" s="8" t="n">
        <v>100</v>
      </c>
      <c r="I66" s="8" t="n">
        <v>500</v>
      </c>
      <c r="J66" s="8" t="n">
        <v>225</v>
      </c>
    </row>
    <row r="67" customFormat="false" ht="15" hidden="false" customHeight="false" outlineLevel="0" collapsed="false">
      <c r="A67" s="3" t="s">
        <v>154</v>
      </c>
      <c r="B67" s="3" t="s">
        <v>155</v>
      </c>
      <c r="C67" s="3" t="s">
        <v>19</v>
      </c>
      <c r="D67" s="3" t="s">
        <v>20</v>
      </c>
      <c r="E67" s="3" t="s">
        <v>34</v>
      </c>
      <c r="F67" s="3" t="s">
        <v>35</v>
      </c>
      <c r="G67" s="4" t="n">
        <v>2</v>
      </c>
      <c r="H67" s="5" t="n">
        <v>800</v>
      </c>
      <c r="I67" s="5" t="n">
        <v>1600</v>
      </c>
      <c r="J67" s="5" t="n">
        <v>1040</v>
      </c>
    </row>
    <row r="68" customFormat="false" ht="15" hidden="false" customHeight="false" outlineLevel="0" collapsed="false">
      <c r="A68" s="6" t="s">
        <v>156</v>
      </c>
      <c r="B68" s="6" t="s">
        <v>157</v>
      </c>
      <c r="C68" s="6" t="s">
        <v>19</v>
      </c>
      <c r="D68" s="6" t="s">
        <v>20</v>
      </c>
      <c r="E68" s="6" t="s">
        <v>50</v>
      </c>
      <c r="F68" s="6" t="s">
        <v>16</v>
      </c>
      <c r="G68" s="7" t="n">
        <v>12</v>
      </c>
      <c r="H68" s="8" t="n">
        <v>150</v>
      </c>
      <c r="I68" s="8" t="n">
        <v>1800</v>
      </c>
      <c r="J68" s="8" t="n">
        <v>990</v>
      </c>
    </row>
    <row r="69" customFormat="false" ht="15" hidden="false" customHeight="false" outlineLevel="0" collapsed="false">
      <c r="A69" s="3" t="s">
        <v>158</v>
      </c>
      <c r="B69" s="3" t="s">
        <v>153</v>
      </c>
      <c r="C69" s="3" t="s">
        <v>23</v>
      </c>
      <c r="D69" s="3" t="s">
        <v>24</v>
      </c>
      <c r="E69" s="3" t="s">
        <v>25</v>
      </c>
      <c r="F69" s="3" t="s">
        <v>26</v>
      </c>
      <c r="G69" s="4" t="n">
        <v>6</v>
      </c>
      <c r="H69" s="5" t="n">
        <v>850</v>
      </c>
      <c r="I69" s="5" t="n">
        <v>5100</v>
      </c>
      <c r="J69" s="5" t="n">
        <v>1122</v>
      </c>
    </row>
    <row r="70" customFormat="false" ht="15" hidden="false" customHeight="false" outlineLevel="0" collapsed="false">
      <c r="A70" s="6" t="s">
        <v>159</v>
      </c>
      <c r="B70" s="6" t="s">
        <v>160</v>
      </c>
      <c r="C70" s="6" t="s">
        <v>13</v>
      </c>
      <c r="D70" s="6" t="s">
        <v>14</v>
      </c>
      <c r="E70" s="6" t="s">
        <v>15</v>
      </c>
      <c r="F70" s="6" t="s">
        <v>16</v>
      </c>
      <c r="G70" s="7" t="n">
        <v>14</v>
      </c>
      <c r="H70" s="8" t="n">
        <v>200</v>
      </c>
      <c r="I70" s="8" t="n">
        <v>2800</v>
      </c>
      <c r="J70" s="8" t="n">
        <v>1400</v>
      </c>
    </row>
    <row r="71" customFormat="false" ht="15" hidden="false" customHeight="false" outlineLevel="0" collapsed="false">
      <c r="A71" s="3" t="s">
        <v>161</v>
      </c>
      <c r="B71" s="3" t="s">
        <v>162</v>
      </c>
      <c r="C71" s="3" t="s">
        <v>31</v>
      </c>
      <c r="D71" s="3" t="s">
        <v>20</v>
      </c>
      <c r="E71" s="3" t="s">
        <v>44</v>
      </c>
      <c r="F71" s="3" t="s">
        <v>26</v>
      </c>
      <c r="G71" s="4" t="n">
        <v>4</v>
      </c>
      <c r="H71" s="5" t="n">
        <v>75</v>
      </c>
      <c r="I71" s="5" t="n">
        <v>300</v>
      </c>
      <c r="J71" s="5" t="n">
        <v>120</v>
      </c>
    </row>
    <row r="72" customFormat="false" ht="15" hidden="false" customHeight="false" outlineLevel="0" collapsed="false">
      <c r="A72" s="6" t="s">
        <v>163</v>
      </c>
      <c r="B72" s="6" t="s">
        <v>155</v>
      </c>
      <c r="C72" s="6" t="s">
        <v>47</v>
      </c>
      <c r="D72" s="6" t="s">
        <v>14</v>
      </c>
      <c r="E72" s="6" t="s">
        <v>25</v>
      </c>
      <c r="F72" s="6" t="s">
        <v>26</v>
      </c>
      <c r="G72" s="7" t="n">
        <v>15</v>
      </c>
      <c r="H72" s="8" t="n">
        <v>850</v>
      </c>
      <c r="I72" s="8" t="n">
        <v>12750</v>
      </c>
      <c r="J72" s="8" t="n">
        <v>2805</v>
      </c>
    </row>
    <row r="73" customFormat="false" ht="15" hidden="false" customHeight="false" outlineLevel="0" collapsed="false">
      <c r="A73" s="3" t="s">
        <v>164</v>
      </c>
      <c r="B73" s="3" t="s">
        <v>162</v>
      </c>
      <c r="C73" s="3" t="s">
        <v>38</v>
      </c>
      <c r="D73" s="3" t="s">
        <v>39</v>
      </c>
      <c r="E73" s="3" t="s">
        <v>25</v>
      </c>
      <c r="F73" s="3" t="s">
        <v>26</v>
      </c>
      <c r="G73" s="4" t="n">
        <v>7</v>
      </c>
      <c r="H73" s="5" t="n">
        <v>850</v>
      </c>
      <c r="I73" s="5" t="n">
        <v>5950</v>
      </c>
      <c r="J73" s="5" t="n">
        <v>1309</v>
      </c>
    </row>
    <row r="74" customFormat="false" ht="15" hidden="false" customHeight="false" outlineLevel="0" collapsed="false">
      <c r="A74" s="6" t="s">
        <v>165</v>
      </c>
      <c r="B74" s="6" t="s">
        <v>166</v>
      </c>
      <c r="C74" s="6" t="s">
        <v>43</v>
      </c>
      <c r="D74" s="6" t="s">
        <v>39</v>
      </c>
      <c r="E74" s="6" t="s">
        <v>40</v>
      </c>
      <c r="F74" s="6" t="s">
        <v>26</v>
      </c>
      <c r="G74" s="7" t="n">
        <v>12</v>
      </c>
      <c r="H74" s="8" t="n">
        <v>320</v>
      </c>
      <c r="I74" s="8" t="n">
        <v>3840</v>
      </c>
      <c r="J74" s="8" t="n">
        <v>1075.2</v>
      </c>
    </row>
    <row r="75" customFormat="false" ht="15" hidden="false" customHeight="false" outlineLevel="0" collapsed="false">
      <c r="A75" s="3" t="s">
        <v>167</v>
      </c>
      <c r="B75" s="3" t="s">
        <v>168</v>
      </c>
      <c r="C75" s="3" t="s">
        <v>75</v>
      </c>
      <c r="D75" s="3" t="s">
        <v>24</v>
      </c>
      <c r="E75" s="3" t="s">
        <v>25</v>
      </c>
      <c r="F75" s="3" t="s">
        <v>26</v>
      </c>
      <c r="G75" s="4" t="n">
        <v>9</v>
      </c>
      <c r="H75" s="5" t="n">
        <v>850</v>
      </c>
      <c r="I75" s="5" t="n">
        <v>7650</v>
      </c>
      <c r="J75" s="5" t="n">
        <v>1683</v>
      </c>
    </row>
    <row r="76" customFormat="false" ht="15" hidden="false" customHeight="false" outlineLevel="0" collapsed="false">
      <c r="A76" s="6" t="s">
        <v>169</v>
      </c>
      <c r="B76" s="6" t="s">
        <v>170</v>
      </c>
      <c r="C76" s="6" t="s">
        <v>38</v>
      </c>
      <c r="D76" s="6" t="s">
        <v>39</v>
      </c>
      <c r="E76" s="6" t="s">
        <v>44</v>
      </c>
      <c r="F76" s="6" t="s">
        <v>26</v>
      </c>
      <c r="G76" s="7" t="n">
        <v>14</v>
      </c>
      <c r="H76" s="8" t="n">
        <v>75</v>
      </c>
      <c r="I76" s="8" t="n">
        <v>1050</v>
      </c>
      <c r="J76" s="8" t="n">
        <v>420</v>
      </c>
    </row>
    <row r="77" customFormat="false" ht="15" hidden="false" customHeight="false" outlineLevel="0" collapsed="false">
      <c r="A77" s="3" t="s">
        <v>171</v>
      </c>
      <c r="B77" s="3" t="s">
        <v>172</v>
      </c>
      <c r="C77" s="3" t="s">
        <v>43</v>
      </c>
      <c r="D77" s="3" t="s">
        <v>39</v>
      </c>
      <c r="E77" s="3" t="s">
        <v>21</v>
      </c>
      <c r="F77" s="3" t="s">
        <v>16</v>
      </c>
      <c r="G77" s="4" t="n">
        <v>4</v>
      </c>
      <c r="H77" s="5" t="n">
        <v>100</v>
      </c>
      <c r="I77" s="5" t="n">
        <v>400</v>
      </c>
      <c r="J77" s="5" t="n">
        <v>180</v>
      </c>
    </row>
    <row r="78" customFormat="false" ht="15" hidden="false" customHeight="false" outlineLevel="0" collapsed="false">
      <c r="A78" s="6" t="s">
        <v>173</v>
      </c>
      <c r="B78" s="6" t="s">
        <v>174</v>
      </c>
      <c r="C78" s="6" t="s">
        <v>31</v>
      </c>
      <c r="D78" s="6" t="s">
        <v>20</v>
      </c>
      <c r="E78" s="6" t="s">
        <v>44</v>
      </c>
      <c r="F78" s="6" t="s">
        <v>26</v>
      </c>
      <c r="G78" s="7" t="n">
        <v>14</v>
      </c>
      <c r="H78" s="8" t="n">
        <v>75</v>
      </c>
      <c r="I78" s="8" t="n">
        <v>1050</v>
      </c>
      <c r="J78" s="8" t="n">
        <v>420</v>
      </c>
    </row>
    <row r="79" customFormat="false" ht="15" hidden="false" customHeight="false" outlineLevel="0" collapsed="false">
      <c r="A79" s="3" t="s">
        <v>175</v>
      </c>
      <c r="B79" s="3" t="s">
        <v>176</v>
      </c>
      <c r="C79" s="3" t="s">
        <v>31</v>
      </c>
      <c r="D79" s="3" t="s">
        <v>20</v>
      </c>
      <c r="E79" s="3" t="s">
        <v>62</v>
      </c>
      <c r="F79" s="3" t="s">
        <v>35</v>
      </c>
      <c r="G79" s="4" t="n">
        <v>11</v>
      </c>
      <c r="H79" s="5" t="n">
        <v>1200</v>
      </c>
      <c r="I79" s="5" t="n">
        <v>13200</v>
      </c>
      <c r="J79" s="5" t="n">
        <v>9240</v>
      </c>
    </row>
    <row r="80" customFormat="false" ht="15" hidden="false" customHeight="false" outlineLevel="0" collapsed="false">
      <c r="A80" s="6" t="s">
        <v>177</v>
      </c>
      <c r="B80" s="6" t="s">
        <v>178</v>
      </c>
      <c r="C80" s="6" t="s">
        <v>38</v>
      </c>
      <c r="D80" s="6" t="s">
        <v>39</v>
      </c>
      <c r="E80" s="6" t="s">
        <v>15</v>
      </c>
      <c r="F80" s="6" t="s">
        <v>16</v>
      </c>
      <c r="G80" s="7" t="n">
        <v>17</v>
      </c>
      <c r="H80" s="8" t="n">
        <v>200</v>
      </c>
      <c r="I80" s="8" t="n">
        <v>3400</v>
      </c>
      <c r="J80" s="8" t="n">
        <v>1700</v>
      </c>
    </row>
    <row r="81" customFormat="false" ht="15" hidden="false" customHeight="false" outlineLevel="0" collapsed="false">
      <c r="A81" s="3" t="s">
        <v>179</v>
      </c>
      <c r="B81" s="3" t="s">
        <v>180</v>
      </c>
      <c r="C81" s="3" t="s">
        <v>75</v>
      </c>
      <c r="D81" s="3" t="s">
        <v>24</v>
      </c>
      <c r="E81" s="3" t="s">
        <v>92</v>
      </c>
      <c r="F81" s="3" t="s">
        <v>35</v>
      </c>
      <c r="G81" s="4" t="n">
        <v>10</v>
      </c>
      <c r="H81" s="5" t="n">
        <v>450</v>
      </c>
      <c r="I81" s="5" t="n">
        <v>4500</v>
      </c>
      <c r="J81" s="5" t="n">
        <v>2700</v>
      </c>
    </row>
    <row r="82" customFormat="false" ht="15" hidden="false" customHeight="false" outlineLevel="0" collapsed="false">
      <c r="A82" s="6" t="s">
        <v>181</v>
      </c>
      <c r="B82" s="6" t="s">
        <v>182</v>
      </c>
      <c r="C82" s="6" t="s">
        <v>19</v>
      </c>
      <c r="D82" s="6" t="s">
        <v>20</v>
      </c>
      <c r="E82" s="6" t="s">
        <v>92</v>
      </c>
      <c r="F82" s="6" t="s">
        <v>35</v>
      </c>
      <c r="G82" s="7" t="n">
        <v>13</v>
      </c>
      <c r="H82" s="8" t="n">
        <v>450</v>
      </c>
      <c r="I82" s="8" t="n">
        <v>5850</v>
      </c>
      <c r="J82" s="8" t="n">
        <v>3510</v>
      </c>
    </row>
    <row r="83" customFormat="false" ht="15" hidden="false" customHeight="false" outlineLevel="0" collapsed="false">
      <c r="A83" s="3" t="s">
        <v>183</v>
      </c>
      <c r="B83" s="3" t="s">
        <v>178</v>
      </c>
      <c r="C83" s="3" t="s">
        <v>31</v>
      </c>
      <c r="D83" s="3" t="s">
        <v>20</v>
      </c>
      <c r="E83" s="3" t="s">
        <v>92</v>
      </c>
      <c r="F83" s="3" t="s">
        <v>35</v>
      </c>
      <c r="G83" s="4" t="n">
        <v>1</v>
      </c>
      <c r="H83" s="5" t="n">
        <v>450</v>
      </c>
      <c r="I83" s="5" t="n">
        <v>450</v>
      </c>
      <c r="J83" s="5" t="n">
        <v>270</v>
      </c>
    </row>
    <row r="84" customFormat="false" ht="15" hidden="false" customHeight="false" outlineLevel="0" collapsed="false">
      <c r="A84" s="6" t="s">
        <v>184</v>
      </c>
      <c r="B84" s="6" t="s">
        <v>185</v>
      </c>
      <c r="C84" s="6" t="s">
        <v>38</v>
      </c>
      <c r="D84" s="6" t="s">
        <v>39</v>
      </c>
      <c r="E84" s="6" t="s">
        <v>92</v>
      </c>
      <c r="F84" s="6" t="s">
        <v>35</v>
      </c>
      <c r="G84" s="7" t="n">
        <v>20</v>
      </c>
      <c r="H84" s="8" t="n">
        <v>450</v>
      </c>
      <c r="I84" s="8" t="n">
        <v>9000</v>
      </c>
      <c r="J84" s="8" t="n">
        <v>5400</v>
      </c>
    </row>
    <row r="85" customFormat="false" ht="15" hidden="false" customHeight="false" outlineLevel="0" collapsed="false">
      <c r="A85" s="3" t="s">
        <v>186</v>
      </c>
      <c r="B85" s="3" t="s">
        <v>187</v>
      </c>
      <c r="C85" s="3" t="s">
        <v>43</v>
      </c>
      <c r="D85" s="3" t="s">
        <v>39</v>
      </c>
      <c r="E85" s="3" t="s">
        <v>34</v>
      </c>
      <c r="F85" s="3" t="s">
        <v>35</v>
      </c>
      <c r="G85" s="4" t="n">
        <v>7</v>
      </c>
      <c r="H85" s="5" t="n">
        <v>800</v>
      </c>
      <c r="I85" s="5" t="n">
        <v>5600</v>
      </c>
      <c r="J85" s="5" t="n">
        <v>3640</v>
      </c>
    </row>
    <row r="86" customFormat="false" ht="15" hidden="false" customHeight="false" outlineLevel="0" collapsed="false">
      <c r="A86" s="6" t="s">
        <v>188</v>
      </c>
      <c r="B86" s="6" t="s">
        <v>187</v>
      </c>
      <c r="C86" s="6" t="s">
        <v>23</v>
      </c>
      <c r="D86" s="6" t="s">
        <v>24</v>
      </c>
      <c r="E86" s="6" t="s">
        <v>50</v>
      </c>
      <c r="F86" s="6" t="s">
        <v>16</v>
      </c>
      <c r="G86" s="7" t="n">
        <v>10</v>
      </c>
      <c r="H86" s="8" t="n">
        <v>150</v>
      </c>
      <c r="I86" s="8" t="n">
        <v>1500</v>
      </c>
      <c r="J86" s="8" t="n">
        <v>825</v>
      </c>
    </row>
    <row r="87" customFormat="false" ht="15" hidden="false" customHeight="false" outlineLevel="0" collapsed="false">
      <c r="A87" s="3" t="s">
        <v>189</v>
      </c>
      <c r="B87" s="3" t="s">
        <v>190</v>
      </c>
      <c r="C87" s="3" t="s">
        <v>38</v>
      </c>
      <c r="D87" s="3" t="s">
        <v>39</v>
      </c>
      <c r="E87" s="3" t="s">
        <v>44</v>
      </c>
      <c r="F87" s="3" t="s">
        <v>26</v>
      </c>
      <c r="G87" s="4" t="n">
        <v>10</v>
      </c>
      <c r="H87" s="5" t="n">
        <v>75</v>
      </c>
      <c r="I87" s="5" t="n">
        <v>750</v>
      </c>
      <c r="J87" s="5" t="n">
        <v>300</v>
      </c>
    </row>
    <row r="88" customFormat="false" ht="15" hidden="false" customHeight="false" outlineLevel="0" collapsed="false">
      <c r="A88" s="6" t="s">
        <v>191</v>
      </c>
      <c r="B88" s="6" t="s">
        <v>192</v>
      </c>
      <c r="C88" s="6" t="s">
        <v>19</v>
      </c>
      <c r="D88" s="6" t="s">
        <v>20</v>
      </c>
      <c r="E88" s="6" t="s">
        <v>25</v>
      </c>
      <c r="F88" s="6" t="s">
        <v>26</v>
      </c>
      <c r="G88" s="7" t="n">
        <v>8</v>
      </c>
      <c r="H88" s="8" t="n">
        <v>850</v>
      </c>
      <c r="I88" s="8" t="n">
        <v>6800</v>
      </c>
      <c r="J88" s="8" t="n">
        <v>1496</v>
      </c>
    </row>
    <row r="89" customFormat="false" ht="15" hidden="false" customHeight="false" outlineLevel="0" collapsed="false">
      <c r="A89" s="3" t="s">
        <v>193</v>
      </c>
      <c r="B89" s="3" t="s">
        <v>194</v>
      </c>
      <c r="C89" s="3" t="s">
        <v>47</v>
      </c>
      <c r="D89" s="3" t="s">
        <v>14</v>
      </c>
      <c r="E89" s="3" t="s">
        <v>92</v>
      </c>
      <c r="F89" s="3" t="s">
        <v>35</v>
      </c>
      <c r="G89" s="4" t="n">
        <v>19</v>
      </c>
      <c r="H89" s="5" t="n">
        <v>450</v>
      </c>
      <c r="I89" s="5" t="n">
        <v>8550</v>
      </c>
      <c r="J89" s="5" t="n">
        <v>5130</v>
      </c>
    </row>
    <row r="90" customFormat="false" ht="15" hidden="false" customHeight="false" outlineLevel="0" collapsed="false">
      <c r="A90" s="6" t="s">
        <v>195</v>
      </c>
      <c r="B90" s="6" t="s">
        <v>196</v>
      </c>
      <c r="C90" s="6" t="s">
        <v>75</v>
      </c>
      <c r="D90" s="6" t="s">
        <v>24</v>
      </c>
      <c r="E90" s="6" t="s">
        <v>62</v>
      </c>
      <c r="F90" s="6" t="s">
        <v>35</v>
      </c>
      <c r="G90" s="7" t="n">
        <v>5</v>
      </c>
      <c r="H90" s="8" t="n">
        <v>1200</v>
      </c>
      <c r="I90" s="8" t="n">
        <v>6000</v>
      </c>
      <c r="J90" s="8" t="n">
        <v>4200</v>
      </c>
    </row>
    <row r="91" customFormat="false" ht="15" hidden="false" customHeight="false" outlineLevel="0" collapsed="false">
      <c r="A91" s="3" t="s">
        <v>197</v>
      </c>
      <c r="B91" s="3" t="s">
        <v>198</v>
      </c>
      <c r="C91" s="3" t="s">
        <v>13</v>
      </c>
      <c r="D91" s="3" t="s">
        <v>14</v>
      </c>
      <c r="E91" s="3" t="s">
        <v>62</v>
      </c>
      <c r="F91" s="3" t="s">
        <v>35</v>
      </c>
      <c r="G91" s="4" t="n">
        <v>6</v>
      </c>
      <c r="H91" s="5" t="n">
        <v>1200</v>
      </c>
      <c r="I91" s="5" t="n">
        <v>7200</v>
      </c>
      <c r="J91" s="5" t="n">
        <v>5040</v>
      </c>
    </row>
    <row r="92" customFormat="false" ht="15" hidden="false" customHeight="false" outlineLevel="0" collapsed="false">
      <c r="A92" s="6" t="s">
        <v>199</v>
      </c>
      <c r="B92" s="6" t="s">
        <v>200</v>
      </c>
      <c r="C92" s="6" t="s">
        <v>23</v>
      </c>
      <c r="D92" s="6" t="s">
        <v>24</v>
      </c>
      <c r="E92" s="6" t="s">
        <v>50</v>
      </c>
      <c r="F92" s="6" t="s">
        <v>16</v>
      </c>
      <c r="G92" s="7" t="n">
        <v>4</v>
      </c>
      <c r="H92" s="8" t="n">
        <v>150</v>
      </c>
      <c r="I92" s="8" t="n">
        <v>600</v>
      </c>
      <c r="J92" s="8" t="n">
        <v>330</v>
      </c>
    </row>
    <row r="93" customFormat="false" ht="15" hidden="false" customHeight="false" outlineLevel="0" collapsed="false">
      <c r="A93" s="3" t="s">
        <v>201</v>
      </c>
      <c r="B93" s="3" t="s">
        <v>202</v>
      </c>
      <c r="C93" s="3" t="s">
        <v>31</v>
      </c>
      <c r="D93" s="3" t="s">
        <v>20</v>
      </c>
      <c r="E93" s="3" t="s">
        <v>21</v>
      </c>
      <c r="F93" s="3" t="s">
        <v>16</v>
      </c>
      <c r="G93" s="4" t="n">
        <v>18</v>
      </c>
      <c r="H93" s="5" t="n">
        <v>100</v>
      </c>
      <c r="I93" s="5" t="n">
        <v>1800</v>
      </c>
      <c r="J93" s="5" t="n">
        <v>810</v>
      </c>
    </row>
    <row r="94" customFormat="false" ht="15" hidden="false" customHeight="false" outlineLevel="0" collapsed="false">
      <c r="A94" s="6" t="s">
        <v>203</v>
      </c>
      <c r="B94" s="6" t="s">
        <v>204</v>
      </c>
      <c r="C94" s="6" t="s">
        <v>43</v>
      </c>
      <c r="D94" s="6" t="s">
        <v>39</v>
      </c>
      <c r="E94" s="6" t="s">
        <v>21</v>
      </c>
      <c r="F94" s="6" t="s">
        <v>16</v>
      </c>
      <c r="G94" s="7" t="n">
        <v>17</v>
      </c>
      <c r="H94" s="8" t="n">
        <v>100</v>
      </c>
      <c r="I94" s="8" t="n">
        <v>1700</v>
      </c>
      <c r="J94" s="8" t="n">
        <v>765</v>
      </c>
    </row>
    <row r="95" customFormat="false" ht="15" hidden="false" customHeight="false" outlineLevel="0" collapsed="false">
      <c r="A95" s="3" t="s">
        <v>205</v>
      </c>
      <c r="B95" s="3" t="s">
        <v>206</v>
      </c>
      <c r="C95" s="3" t="s">
        <v>23</v>
      </c>
      <c r="D95" s="3" t="s">
        <v>24</v>
      </c>
      <c r="E95" s="3" t="s">
        <v>15</v>
      </c>
      <c r="F95" s="3" t="s">
        <v>16</v>
      </c>
      <c r="G95" s="4" t="n">
        <v>15</v>
      </c>
      <c r="H95" s="5" t="n">
        <v>200</v>
      </c>
      <c r="I95" s="5" t="n">
        <v>3000</v>
      </c>
      <c r="J95" s="5" t="n">
        <v>1500</v>
      </c>
    </row>
    <row r="96" customFormat="false" ht="15" hidden="false" customHeight="false" outlineLevel="0" collapsed="false">
      <c r="A96" s="6" t="s">
        <v>207</v>
      </c>
      <c r="B96" s="6" t="s">
        <v>206</v>
      </c>
      <c r="C96" s="6" t="s">
        <v>31</v>
      </c>
      <c r="D96" s="6" t="s">
        <v>20</v>
      </c>
      <c r="E96" s="6" t="s">
        <v>15</v>
      </c>
      <c r="F96" s="6" t="s">
        <v>16</v>
      </c>
      <c r="G96" s="7" t="n">
        <v>8</v>
      </c>
      <c r="H96" s="8" t="n">
        <v>200</v>
      </c>
      <c r="I96" s="8" t="n">
        <v>1600</v>
      </c>
      <c r="J96" s="8" t="n">
        <v>800</v>
      </c>
    </row>
    <row r="97" customFormat="false" ht="15" hidden="false" customHeight="false" outlineLevel="0" collapsed="false">
      <c r="A97" s="3" t="s">
        <v>208</v>
      </c>
      <c r="B97" s="3" t="s">
        <v>206</v>
      </c>
      <c r="C97" s="3" t="s">
        <v>23</v>
      </c>
      <c r="D97" s="3" t="s">
        <v>24</v>
      </c>
      <c r="E97" s="3" t="s">
        <v>15</v>
      </c>
      <c r="F97" s="3" t="s">
        <v>16</v>
      </c>
      <c r="G97" s="4" t="n">
        <v>8</v>
      </c>
      <c r="H97" s="5" t="n">
        <v>200</v>
      </c>
      <c r="I97" s="5" t="n">
        <v>1600</v>
      </c>
      <c r="J97" s="5" t="n">
        <v>800</v>
      </c>
    </row>
    <row r="98" customFormat="false" ht="15" hidden="false" customHeight="false" outlineLevel="0" collapsed="false">
      <c r="A98" s="6" t="s">
        <v>209</v>
      </c>
      <c r="B98" s="6" t="s">
        <v>210</v>
      </c>
      <c r="C98" s="6" t="s">
        <v>43</v>
      </c>
      <c r="D98" s="6" t="s">
        <v>39</v>
      </c>
      <c r="E98" s="6" t="s">
        <v>50</v>
      </c>
      <c r="F98" s="6" t="s">
        <v>16</v>
      </c>
      <c r="G98" s="7" t="n">
        <v>5</v>
      </c>
      <c r="H98" s="8" t="n">
        <v>150</v>
      </c>
      <c r="I98" s="8" t="n">
        <v>750</v>
      </c>
      <c r="J98" s="8" t="n">
        <v>412.5</v>
      </c>
    </row>
    <row r="99" customFormat="false" ht="15" hidden="false" customHeight="false" outlineLevel="0" collapsed="false">
      <c r="A99" s="3" t="s">
        <v>211</v>
      </c>
      <c r="B99" s="3" t="s">
        <v>212</v>
      </c>
      <c r="C99" s="3" t="s">
        <v>31</v>
      </c>
      <c r="D99" s="3" t="s">
        <v>20</v>
      </c>
      <c r="E99" s="3" t="s">
        <v>50</v>
      </c>
      <c r="F99" s="3" t="s">
        <v>16</v>
      </c>
      <c r="G99" s="4" t="n">
        <v>7</v>
      </c>
      <c r="H99" s="5" t="n">
        <v>150</v>
      </c>
      <c r="I99" s="5" t="n">
        <v>1050</v>
      </c>
      <c r="J99" s="5" t="n">
        <v>577.5</v>
      </c>
    </row>
    <row r="100" customFormat="false" ht="15" hidden="false" customHeight="false" outlineLevel="0" collapsed="false">
      <c r="A100" s="6" t="s">
        <v>213</v>
      </c>
      <c r="B100" s="6" t="s">
        <v>204</v>
      </c>
      <c r="C100" s="6" t="s">
        <v>75</v>
      </c>
      <c r="D100" s="6" t="s">
        <v>24</v>
      </c>
      <c r="E100" s="6" t="s">
        <v>92</v>
      </c>
      <c r="F100" s="6" t="s">
        <v>35</v>
      </c>
      <c r="G100" s="7" t="n">
        <v>15</v>
      </c>
      <c r="H100" s="8" t="n">
        <v>450</v>
      </c>
      <c r="I100" s="8" t="n">
        <v>6750</v>
      </c>
      <c r="J100" s="8" t="n">
        <v>4050</v>
      </c>
    </row>
    <row r="101" customFormat="false" ht="15" hidden="false" customHeight="false" outlineLevel="0" collapsed="false">
      <c r="A101" s="3" t="s">
        <v>214</v>
      </c>
      <c r="B101" s="3" t="s">
        <v>215</v>
      </c>
      <c r="C101" s="3" t="s">
        <v>13</v>
      </c>
      <c r="D101" s="3" t="s">
        <v>14</v>
      </c>
      <c r="E101" s="3" t="s">
        <v>34</v>
      </c>
      <c r="F101" s="3" t="s">
        <v>35</v>
      </c>
      <c r="G101" s="4" t="n">
        <v>19</v>
      </c>
      <c r="H101" s="5" t="n">
        <v>800</v>
      </c>
      <c r="I101" s="5" t="n">
        <v>15200</v>
      </c>
      <c r="J101" s="5" t="n">
        <v>9880</v>
      </c>
    </row>
    <row r="102" customFormat="false" ht="15" hidden="false" customHeight="false" outlineLevel="0" collapsed="false">
      <c r="A102" s="6" t="s">
        <v>216</v>
      </c>
      <c r="B102" s="6" t="s">
        <v>217</v>
      </c>
      <c r="C102" s="6" t="s">
        <v>75</v>
      </c>
      <c r="D102" s="6" t="s">
        <v>24</v>
      </c>
      <c r="E102" s="6" t="s">
        <v>40</v>
      </c>
      <c r="F102" s="6" t="s">
        <v>26</v>
      </c>
      <c r="G102" s="7" t="n">
        <v>10</v>
      </c>
      <c r="H102" s="8" t="n">
        <v>320</v>
      </c>
      <c r="I102" s="8" t="n">
        <v>3200</v>
      </c>
      <c r="J102" s="8" t="n">
        <v>896</v>
      </c>
    </row>
    <row r="103" customFormat="false" ht="15" hidden="false" customHeight="false" outlineLevel="0" collapsed="false">
      <c r="A103" s="3" t="s">
        <v>218</v>
      </c>
      <c r="B103" s="3" t="s">
        <v>219</v>
      </c>
      <c r="C103" s="3" t="s">
        <v>75</v>
      </c>
      <c r="D103" s="3" t="s">
        <v>24</v>
      </c>
      <c r="E103" s="3" t="s">
        <v>21</v>
      </c>
      <c r="F103" s="3" t="s">
        <v>16</v>
      </c>
      <c r="G103" s="4" t="n">
        <v>18</v>
      </c>
      <c r="H103" s="5" t="n">
        <v>100</v>
      </c>
      <c r="I103" s="5" t="n">
        <v>1800</v>
      </c>
      <c r="J103" s="5" t="n">
        <v>810</v>
      </c>
    </row>
    <row r="104" customFormat="false" ht="15" hidden="false" customHeight="false" outlineLevel="0" collapsed="false">
      <c r="A104" s="6" t="s">
        <v>220</v>
      </c>
      <c r="B104" s="6" t="s">
        <v>221</v>
      </c>
      <c r="C104" s="6" t="s">
        <v>31</v>
      </c>
      <c r="D104" s="6" t="s">
        <v>20</v>
      </c>
      <c r="E104" s="6" t="s">
        <v>40</v>
      </c>
      <c r="F104" s="6" t="s">
        <v>26</v>
      </c>
      <c r="G104" s="7" t="n">
        <v>14</v>
      </c>
      <c r="H104" s="8" t="n">
        <v>320</v>
      </c>
      <c r="I104" s="8" t="n">
        <v>4480</v>
      </c>
      <c r="J104" s="8" t="n">
        <v>1254.4</v>
      </c>
    </row>
    <row r="105" customFormat="false" ht="15" hidden="false" customHeight="false" outlineLevel="0" collapsed="false">
      <c r="A105" s="3" t="s">
        <v>222</v>
      </c>
      <c r="B105" s="3" t="s">
        <v>223</v>
      </c>
      <c r="C105" s="3" t="s">
        <v>47</v>
      </c>
      <c r="D105" s="3" t="s">
        <v>14</v>
      </c>
      <c r="E105" s="3" t="s">
        <v>92</v>
      </c>
      <c r="F105" s="3" t="s">
        <v>35</v>
      </c>
      <c r="G105" s="4" t="n">
        <v>13</v>
      </c>
      <c r="H105" s="5" t="n">
        <v>450</v>
      </c>
      <c r="I105" s="5" t="n">
        <v>5850</v>
      </c>
      <c r="J105" s="5" t="n">
        <v>3510</v>
      </c>
    </row>
    <row r="106" customFormat="false" ht="15" hidden="false" customHeight="false" outlineLevel="0" collapsed="false">
      <c r="A106" s="6" t="s">
        <v>224</v>
      </c>
      <c r="B106" s="6" t="s">
        <v>225</v>
      </c>
      <c r="C106" s="6" t="s">
        <v>31</v>
      </c>
      <c r="D106" s="6" t="s">
        <v>20</v>
      </c>
      <c r="E106" s="6" t="s">
        <v>44</v>
      </c>
      <c r="F106" s="6" t="s">
        <v>26</v>
      </c>
      <c r="G106" s="7" t="n">
        <v>18</v>
      </c>
      <c r="H106" s="8" t="n">
        <v>75</v>
      </c>
      <c r="I106" s="8" t="n">
        <v>1350</v>
      </c>
      <c r="J106" s="8" t="n">
        <v>540</v>
      </c>
    </row>
    <row r="107" customFormat="false" ht="15" hidden="false" customHeight="false" outlineLevel="0" collapsed="false">
      <c r="A107" s="3" t="s">
        <v>226</v>
      </c>
      <c r="B107" s="3" t="s">
        <v>227</v>
      </c>
      <c r="C107" s="3" t="s">
        <v>23</v>
      </c>
      <c r="D107" s="3" t="s">
        <v>24</v>
      </c>
      <c r="E107" s="3" t="s">
        <v>44</v>
      </c>
      <c r="F107" s="3" t="s">
        <v>26</v>
      </c>
      <c r="G107" s="4" t="n">
        <v>14</v>
      </c>
      <c r="H107" s="5" t="n">
        <v>75</v>
      </c>
      <c r="I107" s="5" t="n">
        <v>1050</v>
      </c>
      <c r="J107" s="5" t="n">
        <v>420</v>
      </c>
    </row>
    <row r="108" customFormat="false" ht="15" hidden="false" customHeight="false" outlineLevel="0" collapsed="false">
      <c r="A108" s="6" t="s">
        <v>228</v>
      </c>
      <c r="B108" s="6" t="s">
        <v>229</v>
      </c>
      <c r="C108" s="6" t="s">
        <v>23</v>
      </c>
      <c r="D108" s="6" t="s">
        <v>24</v>
      </c>
      <c r="E108" s="6" t="s">
        <v>40</v>
      </c>
      <c r="F108" s="6" t="s">
        <v>26</v>
      </c>
      <c r="G108" s="7" t="n">
        <v>13</v>
      </c>
      <c r="H108" s="8" t="n">
        <v>320</v>
      </c>
      <c r="I108" s="8" t="n">
        <v>4160</v>
      </c>
      <c r="J108" s="8" t="n">
        <v>1164.8</v>
      </c>
    </row>
    <row r="109" customFormat="false" ht="15" hidden="false" customHeight="false" outlineLevel="0" collapsed="false">
      <c r="A109" s="3" t="s">
        <v>230</v>
      </c>
      <c r="B109" s="3" t="s">
        <v>231</v>
      </c>
      <c r="C109" s="3" t="s">
        <v>31</v>
      </c>
      <c r="D109" s="3" t="s">
        <v>20</v>
      </c>
      <c r="E109" s="3" t="s">
        <v>34</v>
      </c>
      <c r="F109" s="3" t="s">
        <v>35</v>
      </c>
      <c r="G109" s="4" t="n">
        <v>13</v>
      </c>
      <c r="H109" s="5" t="n">
        <v>800</v>
      </c>
      <c r="I109" s="5" t="n">
        <v>10400</v>
      </c>
      <c r="J109" s="5" t="n">
        <v>6760</v>
      </c>
    </row>
    <row r="110" customFormat="false" ht="15" hidden="false" customHeight="false" outlineLevel="0" collapsed="false">
      <c r="A110" s="6" t="s">
        <v>232</v>
      </c>
      <c r="B110" s="6" t="s">
        <v>233</v>
      </c>
      <c r="C110" s="6" t="s">
        <v>75</v>
      </c>
      <c r="D110" s="6" t="s">
        <v>24</v>
      </c>
      <c r="E110" s="6" t="s">
        <v>40</v>
      </c>
      <c r="F110" s="6" t="s">
        <v>26</v>
      </c>
      <c r="G110" s="7" t="n">
        <v>1</v>
      </c>
      <c r="H110" s="8" t="n">
        <v>320</v>
      </c>
      <c r="I110" s="8" t="n">
        <v>320</v>
      </c>
      <c r="J110" s="8" t="n">
        <v>89.6</v>
      </c>
    </row>
    <row r="111" customFormat="false" ht="15" hidden="false" customHeight="false" outlineLevel="0" collapsed="false">
      <c r="A111" s="3" t="s">
        <v>234</v>
      </c>
      <c r="B111" s="3" t="s">
        <v>235</v>
      </c>
      <c r="C111" s="3" t="s">
        <v>47</v>
      </c>
      <c r="D111" s="3" t="s">
        <v>14</v>
      </c>
      <c r="E111" s="3" t="s">
        <v>44</v>
      </c>
      <c r="F111" s="3" t="s">
        <v>26</v>
      </c>
      <c r="G111" s="4" t="n">
        <v>3</v>
      </c>
      <c r="H111" s="5" t="n">
        <v>75</v>
      </c>
      <c r="I111" s="5" t="n">
        <v>225</v>
      </c>
      <c r="J111" s="5" t="n">
        <v>90</v>
      </c>
    </row>
    <row r="112" customFormat="false" ht="15" hidden="false" customHeight="false" outlineLevel="0" collapsed="false">
      <c r="A112" s="6" t="s">
        <v>236</v>
      </c>
      <c r="B112" s="6" t="s">
        <v>237</v>
      </c>
      <c r="C112" s="6" t="s">
        <v>13</v>
      </c>
      <c r="D112" s="6" t="s">
        <v>14</v>
      </c>
      <c r="E112" s="6" t="s">
        <v>25</v>
      </c>
      <c r="F112" s="6" t="s">
        <v>26</v>
      </c>
      <c r="G112" s="7" t="n">
        <v>1</v>
      </c>
      <c r="H112" s="8" t="n">
        <v>850</v>
      </c>
      <c r="I112" s="8" t="n">
        <v>850</v>
      </c>
      <c r="J112" s="8" t="n">
        <v>187</v>
      </c>
    </row>
    <row r="113" customFormat="false" ht="15" hidden="false" customHeight="false" outlineLevel="0" collapsed="false">
      <c r="A113" s="3" t="s">
        <v>238</v>
      </c>
      <c r="B113" s="3" t="s">
        <v>239</v>
      </c>
      <c r="C113" s="3" t="s">
        <v>19</v>
      </c>
      <c r="D113" s="3" t="s">
        <v>20</v>
      </c>
      <c r="E113" s="3" t="s">
        <v>40</v>
      </c>
      <c r="F113" s="3" t="s">
        <v>26</v>
      </c>
      <c r="G113" s="4" t="n">
        <v>4</v>
      </c>
      <c r="H113" s="5" t="n">
        <v>320</v>
      </c>
      <c r="I113" s="5" t="n">
        <v>1280</v>
      </c>
      <c r="J113" s="5" t="n">
        <v>358.4</v>
      </c>
    </row>
    <row r="114" customFormat="false" ht="15" hidden="false" customHeight="false" outlineLevel="0" collapsed="false">
      <c r="A114" s="6" t="s">
        <v>240</v>
      </c>
      <c r="B114" s="6" t="s">
        <v>241</v>
      </c>
      <c r="C114" s="6" t="s">
        <v>31</v>
      </c>
      <c r="D114" s="6" t="s">
        <v>20</v>
      </c>
      <c r="E114" s="6" t="s">
        <v>15</v>
      </c>
      <c r="F114" s="6" t="s">
        <v>16</v>
      </c>
      <c r="G114" s="7" t="n">
        <v>12</v>
      </c>
      <c r="H114" s="8" t="n">
        <v>200</v>
      </c>
      <c r="I114" s="8" t="n">
        <v>2400</v>
      </c>
      <c r="J114" s="8" t="n">
        <v>1200</v>
      </c>
    </row>
    <row r="115" customFormat="false" ht="15" hidden="false" customHeight="false" outlineLevel="0" collapsed="false">
      <c r="A115" s="3" t="s">
        <v>242</v>
      </c>
      <c r="B115" s="3" t="s">
        <v>243</v>
      </c>
      <c r="C115" s="3" t="s">
        <v>13</v>
      </c>
      <c r="D115" s="3" t="s">
        <v>14</v>
      </c>
      <c r="E115" s="3" t="s">
        <v>62</v>
      </c>
      <c r="F115" s="3" t="s">
        <v>35</v>
      </c>
      <c r="G115" s="4" t="n">
        <v>19</v>
      </c>
      <c r="H115" s="5" t="n">
        <v>1200</v>
      </c>
      <c r="I115" s="5" t="n">
        <v>22800</v>
      </c>
      <c r="J115" s="5" t="n">
        <v>15960</v>
      </c>
    </row>
    <row r="116" customFormat="false" ht="15" hidden="false" customHeight="false" outlineLevel="0" collapsed="false">
      <c r="A116" s="6" t="s">
        <v>244</v>
      </c>
      <c r="B116" s="6" t="s">
        <v>245</v>
      </c>
      <c r="C116" s="6" t="s">
        <v>43</v>
      </c>
      <c r="D116" s="6" t="s">
        <v>39</v>
      </c>
      <c r="E116" s="6" t="s">
        <v>92</v>
      </c>
      <c r="F116" s="6" t="s">
        <v>35</v>
      </c>
      <c r="G116" s="7" t="n">
        <v>7</v>
      </c>
      <c r="H116" s="8" t="n">
        <v>450</v>
      </c>
      <c r="I116" s="8" t="n">
        <v>3150</v>
      </c>
      <c r="J116" s="8" t="n">
        <v>1890</v>
      </c>
    </row>
    <row r="117" customFormat="false" ht="15" hidden="false" customHeight="false" outlineLevel="0" collapsed="false">
      <c r="A117" s="3" t="s">
        <v>246</v>
      </c>
      <c r="B117" s="3" t="s">
        <v>247</v>
      </c>
      <c r="C117" s="3" t="s">
        <v>19</v>
      </c>
      <c r="D117" s="3" t="s">
        <v>20</v>
      </c>
      <c r="E117" s="3" t="s">
        <v>15</v>
      </c>
      <c r="F117" s="3" t="s">
        <v>16</v>
      </c>
      <c r="G117" s="4" t="n">
        <v>20</v>
      </c>
      <c r="H117" s="5" t="n">
        <v>200</v>
      </c>
      <c r="I117" s="5" t="n">
        <v>4000</v>
      </c>
      <c r="J117" s="5" t="n">
        <v>2000</v>
      </c>
    </row>
    <row r="118" customFormat="false" ht="15" hidden="false" customHeight="false" outlineLevel="0" collapsed="false">
      <c r="A118" s="6" t="s">
        <v>248</v>
      </c>
      <c r="B118" s="6" t="s">
        <v>249</v>
      </c>
      <c r="C118" s="6" t="s">
        <v>13</v>
      </c>
      <c r="D118" s="6" t="s">
        <v>14</v>
      </c>
      <c r="E118" s="6" t="s">
        <v>92</v>
      </c>
      <c r="F118" s="6" t="s">
        <v>35</v>
      </c>
      <c r="G118" s="7" t="n">
        <v>14</v>
      </c>
      <c r="H118" s="8" t="n">
        <v>450</v>
      </c>
      <c r="I118" s="8" t="n">
        <v>6300</v>
      </c>
      <c r="J118" s="8" t="n">
        <v>3780</v>
      </c>
    </row>
    <row r="119" customFormat="false" ht="15" hidden="false" customHeight="false" outlineLevel="0" collapsed="false">
      <c r="A119" s="3" t="s">
        <v>250</v>
      </c>
      <c r="B119" s="3" t="s">
        <v>243</v>
      </c>
      <c r="C119" s="3" t="s">
        <v>38</v>
      </c>
      <c r="D119" s="3" t="s">
        <v>39</v>
      </c>
      <c r="E119" s="3" t="s">
        <v>21</v>
      </c>
      <c r="F119" s="3" t="s">
        <v>16</v>
      </c>
      <c r="G119" s="4" t="n">
        <v>11</v>
      </c>
      <c r="H119" s="5" t="n">
        <v>100</v>
      </c>
      <c r="I119" s="5" t="n">
        <v>1100</v>
      </c>
      <c r="J119" s="5" t="n">
        <v>495</v>
      </c>
    </row>
    <row r="120" customFormat="false" ht="15" hidden="false" customHeight="false" outlineLevel="0" collapsed="false">
      <c r="A120" s="6" t="s">
        <v>251</v>
      </c>
      <c r="B120" s="6" t="s">
        <v>252</v>
      </c>
      <c r="C120" s="6" t="s">
        <v>75</v>
      </c>
      <c r="D120" s="6" t="s">
        <v>24</v>
      </c>
      <c r="E120" s="6" t="s">
        <v>40</v>
      </c>
      <c r="F120" s="6" t="s">
        <v>26</v>
      </c>
      <c r="G120" s="7" t="n">
        <v>12</v>
      </c>
      <c r="H120" s="8" t="n">
        <v>320</v>
      </c>
      <c r="I120" s="8" t="n">
        <v>3840</v>
      </c>
      <c r="J120" s="8" t="n">
        <v>1075.2</v>
      </c>
    </row>
    <row r="121" customFormat="false" ht="15" hidden="false" customHeight="false" outlineLevel="0" collapsed="false">
      <c r="A121" s="3" t="s">
        <v>253</v>
      </c>
      <c r="B121" s="3" t="s">
        <v>252</v>
      </c>
      <c r="C121" s="3" t="s">
        <v>23</v>
      </c>
      <c r="D121" s="3" t="s">
        <v>24</v>
      </c>
      <c r="E121" s="3" t="s">
        <v>62</v>
      </c>
      <c r="F121" s="3" t="s">
        <v>35</v>
      </c>
      <c r="G121" s="4" t="n">
        <v>17</v>
      </c>
      <c r="H121" s="5" t="n">
        <v>1200</v>
      </c>
      <c r="I121" s="5" t="n">
        <v>20400</v>
      </c>
      <c r="J121" s="5" t="n">
        <v>14280</v>
      </c>
    </row>
    <row r="122" customFormat="false" ht="15" hidden="false" customHeight="false" outlineLevel="0" collapsed="false">
      <c r="A122" s="6" t="s">
        <v>254</v>
      </c>
      <c r="B122" s="6" t="s">
        <v>255</v>
      </c>
      <c r="C122" s="6" t="s">
        <v>43</v>
      </c>
      <c r="D122" s="6" t="s">
        <v>39</v>
      </c>
      <c r="E122" s="6" t="s">
        <v>34</v>
      </c>
      <c r="F122" s="6" t="s">
        <v>35</v>
      </c>
      <c r="G122" s="7" t="n">
        <v>19</v>
      </c>
      <c r="H122" s="8" t="n">
        <v>800</v>
      </c>
      <c r="I122" s="8" t="n">
        <v>15200</v>
      </c>
      <c r="J122" s="8" t="n">
        <v>9880</v>
      </c>
    </row>
    <row r="123" customFormat="false" ht="15" hidden="false" customHeight="false" outlineLevel="0" collapsed="false">
      <c r="A123" s="3" t="s">
        <v>256</v>
      </c>
      <c r="B123" s="3" t="s">
        <v>257</v>
      </c>
      <c r="C123" s="3" t="s">
        <v>38</v>
      </c>
      <c r="D123" s="3" t="s">
        <v>39</v>
      </c>
      <c r="E123" s="3" t="s">
        <v>40</v>
      </c>
      <c r="F123" s="3" t="s">
        <v>26</v>
      </c>
      <c r="G123" s="4" t="n">
        <v>15</v>
      </c>
      <c r="H123" s="5" t="n">
        <v>320</v>
      </c>
      <c r="I123" s="5" t="n">
        <v>4800</v>
      </c>
      <c r="J123" s="5" t="n">
        <v>1344</v>
      </c>
    </row>
    <row r="124" customFormat="false" ht="15" hidden="false" customHeight="false" outlineLevel="0" collapsed="false">
      <c r="A124" s="6" t="s">
        <v>258</v>
      </c>
      <c r="B124" s="6" t="s">
        <v>259</v>
      </c>
      <c r="C124" s="6" t="s">
        <v>75</v>
      </c>
      <c r="D124" s="6" t="s">
        <v>24</v>
      </c>
      <c r="E124" s="6" t="s">
        <v>62</v>
      </c>
      <c r="F124" s="6" t="s">
        <v>35</v>
      </c>
      <c r="G124" s="7" t="n">
        <v>16</v>
      </c>
      <c r="H124" s="8" t="n">
        <v>1200</v>
      </c>
      <c r="I124" s="8" t="n">
        <v>19200</v>
      </c>
      <c r="J124" s="8" t="n">
        <v>13440</v>
      </c>
    </row>
    <row r="125" customFormat="false" ht="15" hidden="false" customHeight="false" outlineLevel="0" collapsed="false">
      <c r="A125" s="3" t="s">
        <v>260</v>
      </c>
      <c r="B125" s="3" t="s">
        <v>261</v>
      </c>
      <c r="C125" s="3" t="s">
        <v>38</v>
      </c>
      <c r="D125" s="3" t="s">
        <v>39</v>
      </c>
      <c r="E125" s="3" t="s">
        <v>62</v>
      </c>
      <c r="F125" s="3" t="s">
        <v>35</v>
      </c>
      <c r="G125" s="4" t="n">
        <v>12</v>
      </c>
      <c r="H125" s="5" t="n">
        <v>1200</v>
      </c>
      <c r="I125" s="5" t="n">
        <v>14400</v>
      </c>
      <c r="J125" s="5" t="n">
        <v>10080</v>
      </c>
    </row>
    <row r="126" customFormat="false" ht="15" hidden="false" customHeight="false" outlineLevel="0" collapsed="false">
      <c r="A126" s="6" t="s">
        <v>262</v>
      </c>
      <c r="B126" s="6" t="s">
        <v>263</v>
      </c>
      <c r="C126" s="6" t="s">
        <v>43</v>
      </c>
      <c r="D126" s="6" t="s">
        <v>39</v>
      </c>
      <c r="E126" s="6" t="s">
        <v>92</v>
      </c>
      <c r="F126" s="6" t="s">
        <v>35</v>
      </c>
      <c r="G126" s="7" t="n">
        <v>9</v>
      </c>
      <c r="H126" s="8" t="n">
        <v>450</v>
      </c>
      <c r="I126" s="8" t="n">
        <v>4050</v>
      </c>
      <c r="J126" s="8" t="n">
        <v>2430</v>
      </c>
    </row>
    <row r="127" customFormat="false" ht="15" hidden="false" customHeight="false" outlineLevel="0" collapsed="false">
      <c r="A127" s="3" t="s">
        <v>264</v>
      </c>
      <c r="B127" s="3" t="s">
        <v>265</v>
      </c>
      <c r="C127" s="3" t="s">
        <v>13</v>
      </c>
      <c r="D127" s="3" t="s">
        <v>14</v>
      </c>
      <c r="E127" s="3" t="s">
        <v>25</v>
      </c>
      <c r="F127" s="3" t="s">
        <v>26</v>
      </c>
      <c r="G127" s="4" t="n">
        <v>14</v>
      </c>
      <c r="H127" s="5" t="n">
        <v>850</v>
      </c>
      <c r="I127" s="5" t="n">
        <v>11900</v>
      </c>
      <c r="J127" s="5" t="n">
        <v>2618</v>
      </c>
    </row>
    <row r="128" customFormat="false" ht="15" hidden="false" customHeight="false" outlineLevel="0" collapsed="false">
      <c r="A128" s="6" t="s">
        <v>266</v>
      </c>
      <c r="B128" s="6" t="s">
        <v>267</v>
      </c>
      <c r="C128" s="6" t="s">
        <v>31</v>
      </c>
      <c r="D128" s="6" t="s">
        <v>20</v>
      </c>
      <c r="E128" s="6" t="s">
        <v>21</v>
      </c>
      <c r="F128" s="6" t="s">
        <v>16</v>
      </c>
      <c r="G128" s="7" t="n">
        <v>16</v>
      </c>
      <c r="H128" s="8" t="n">
        <v>100</v>
      </c>
      <c r="I128" s="8" t="n">
        <v>1600</v>
      </c>
      <c r="J128" s="8" t="n">
        <v>720</v>
      </c>
    </row>
    <row r="129" customFormat="false" ht="15" hidden="false" customHeight="false" outlineLevel="0" collapsed="false">
      <c r="A129" s="3" t="s">
        <v>268</v>
      </c>
      <c r="B129" s="3" t="s">
        <v>269</v>
      </c>
      <c r="C129" s="3" t="s">
        <v>13</v>
      </c>
      <c r="D129" s="3" t="s">
        <v>14</v>
      </c>
      <c r="E129" s="3" t="s">
        <v>62</v>
      </c>
      <c r="F129" s="3" t="s">
        <v>35</v>
      </c>
      <c r="G129" s="4" t="n">
        <v>13</v>
      </c>
      <c r="H129" s="5" t="n">
        <v>1200</v>
      </c>
      <c r="I129" s="5" t="n">
        <v>15600</v>
      </c>
      <c r="J129" s="5" t="n">
        <v>10920</v>
      </c>
    </row>
    <row r="130" customFormat="false" ht="15" hidden="false" customHeight="false" outlineLevel="0" collapsed="false">
      <c r="A130" s="6" t="s">
        <v>270</v>
      </c>
      <c r="B130" s="6" t="s">
        <v>265</v>
      </c>
      <c r="C130" s="6" t="s">
        <v>31</v>
      </c>
      <c r="D130" s="6" t="s">
        <v>20</v>
      </c>
      <c r="E130" s="6" t="s">
        <v>21</v>
      </c>
      <c r="F130" s="6" t="s">
        <v>16</v>
      </c>
      <c r="G130" s="7" t="n">
        <v>12</v>
      </c>
      <c r="H130" s="8" t="n">
        <v>100</v>
      </c>
      <c r="I130" s="8" t="n">
        <v>1200</v>
      </c>
      <c r="J130" s="8" t="n">
        <v>540</v>
      </c>
    </row>
    <row r="131" customFormat="false" ht="15" hidden="false" customHeight="false" outlineLevel="0" collapsed="false">
      <c r="A131" s="3" t="s">
        <v>271</v>
      </c>
      <c r="B131" s="3" t="s">
        <v>272</v>
      </c>
      <c r="C131" s="3" t="s">
        <v>43</v>
      </c>
      <c r="D131" s="3" t="s">
        <v>39</v>
      </c>
      <c r="E131" s="3" t="s">
        <v>21</v>
      </c>
      <c r="F131" s="3" t="s">
        <v>16</v>
      </c>
      <c r="G131" s="4" t="n">
        <v>11</v>
      </c>
      <c r="H131" s="5" t="n">
        <v>100</v>
      </c>
      <c r="I131" s="5" t="n">
        <v>1100</v>
      </c>
      <c r="J131" s="5" t="n">
        <v>495</v>
      </c>
    </row>
    <row r="132" customFormat="false" ht="15" hidden="false" customHeight="false" outlineLevel="0" collapsed="false">
      <c r="A132" s="6" t="s">
        <v>273</v>
      </c>
      <c r="B132" s="6" t="s">
        <v>274</v>
      </c>
      <c r="C132" s="6" t="s">
        <v>75</v>
      </c>
      <c r="D132" s="6" t="s">
        <v>24</v>
      </c>
      <c r="E132" s="6" t="s">
        <v>34</v>
      </c>
      <c r="F132" s="6" t="s">
        <v>35</v>
      </c>
      <c r="G132" s="7" t="n">
        <v>8</v>
      </c>
      <c r="H132" s="8" t="n">
        <v>800</v>
      </c>
      <c r="I132" s="8" t="n">
        <v>6400</v>
      </c>
      <c r="J132" s="8" t="n">
        <v>4160</v>
      </c>
    </row>
    <row r="133" customFormat="false" ht="15" hidden="false" customHeight="false" outlineLevel="0" collapsed="false">
      <c r="A133" s="3" t="s">
        <v>275</v>
      </c>
      <c r="B133" s="3" t="s">
        <v>276</v>
      </c>
      <c r="C133" s="3" t="s">
        <v>31</v>
      </c>
      <c r="D133" s="3" t="s">
        <v>20</v>
      </c>
      <c r="E133" s="3" t="s">
        <v>44</v>
      </c>
      <c r="F133" s="3" t="s">
        <v>26</v>
      </c>
      <c r="G133" s="4" t="n">
        <v>18</v>
      </c>
      <c r="H133" s="5" t="n">
        <v>75</v>
      </c>
      <c r="I133" s="5" t="n">
        <v>1350</v>
      </c>
      <c r="J133" s="5" t="n">
        <v>540</v>
      </c>
    </row>
    <row r="134" customFormat="false" ht="15" hidden="false" customHeight="false" outlineLevel="0" collapsed="false">
      <c r="A134" s="6" t="s">
        <v>277</v>
      </c>
      <c r="B134" s="6" t="s">
        <v>278</v>
      </c>
      <c r="C134" s="6" t="s">
        <v>19</v>
      </c>
      <c r="D134" s="6" t="s">
        <v>20</v>
      </c>
      <c r="E134" s="6" t="s">
        <v>44</v>
      </c>
      <c r="F134" s="6" t="s">
        <v>26</v>
      </c>
      <c r="G134" s="7" t="n">
        <v>16</v>
      </c>
      <c r="H134" s="8" t="n">
        <v>75</v>
      </c>
      <c r="I134" s="8" t="n">
        <v>1200</v>
      </c>
      <c r="J134" s="8" t="n">
        <v>480</v>
      </c>
    </row>
    <row r="135" customFormat="false" ht="15" hidden="false" customHeight="false" outlineLevel="0" collapsed="false">
      <c r="A135" s="3" t="s">
        <v>279</v>
      </c>
      <c r="B135" s="3" t="s">
        <v>272</v>
      </c>
      <c r="C135" s="3" t="s">
        <v>38</v>
      </c>
      <c r="D135" s="3" t="s">
        <v>39</v>
      </c>
      <c r="E135" s="3" t="s">
        <v>40</v>
      </c>
      <c r="F135" s="3" t="s">
        <v>26</v>
      </c>
      <c r="G135" s="4" t="n">
        <v>8</v>
      </c>
      <c r="H135" s="5" t="n">
        <v>320</v>
      </c>
      <c r="I135" s="5" t="n">
        <v>2560</v>
      </c>
      <c r="J135" s="5" t="n">
        <v>716.8</v>
      </c>
    </row>
    <row r="136" customFormat="false" ht="15" hidden="false" customHeight="false" outlineLevel="0" collapsed="false">
      <c r="A136" s="6" t="s">
        <v>280</v>
      </c>
      <c r="B136" s="6" t="s">
        <v>281</v>
      </c>
      <c r="C136" s="6" t="s">
        <v>31</v>
      </c>
      <c r="D136" s="6" t="s">
        <v>20</v>
      </c>
      <c r="E136" s="6" t="s">
        <v>44</v>
      </c>
      <c r="F136" s="6" t="s">
        <v>26</v>
      </c>
      <c r="G136" s="7" t="n">
        <v>18</v>
      </c>
      <c r="H136" s="8" t="n">
        <v>75</v>
      </c>
      <c r="I136" s="8" t="n">
        <v>1350</v>
      </c>
      <c r="J136" s="8" t="n">
        <v>540</v>
      </c>
    </row>
    <row r="137" customFormat="false" ht="15" hidden="false" customHeight="false" outlineLevel="0" collapsed="false">
      <c r="A137" s="3" t="s">
        <v>282</v>
      </c>
      <c r="B137" s="3" t="s">
        <v>269</v>
      </c>
      <c r="C137" s="3" t="s">
        <v>38</v>
      </c>
      <c r="D137" s="3" t="s">
        <v>39</v>
      </c>
      <c r="E137" s="3" t="s">
        <v>44</v>
      </c>
      <c r="F137" s="3" t="s">
        <v>26</v>
      </c>
      <c r="G137" s="4" t="n">
        <v>10</v>
      </c>
      <c r="H137" s="5" t="n">
        <v>75</v>
      </c>
      <c r="I137" s="5" t="n">
        <v>750</v>
      </c>
      <c r="J137" s="5" t="n">
        <v>300</v>
      </c>
    </row>
    <row r="138" customFormat="false" ht="15" hidden="false" customHeight="false" outlineLevel="0" collapsed="false">
      <c r="A138" s="6" t="s">
        <v>283</v>
      </c>
      <c r="B138" s="6" t="s">
        <v>284</v>
      </c>
      <c r="C138" s="6" t="s">
        <v>23</v>
      </c>
      <c r="D138" s="6" t="s">
        <v>24</v>
      </c>
      <c r="E138" s="6" t="s">
        <v>44</v>
      </c>
      <c r="F138" s="6" t="s">
        <v>26</v>
      </c>
      <c r="G138" s="7" t="n">
        <v>10</v>
      </c>
      <c r="H138" s="8" t="n">
        <v>75</v>
      </c>
      <c r="I138" s="8" t="n">
        <v>750</v>
      </c>
      <c r="J138" s="8" t="n">
        <v>300</v>
      </c>
    </row>
    <row r="139" customFormat="false" ht="15" hidden="false" customHeight="false" outlineLevel="0" collapsed="false">
      <c r="A139" s="3" t="s">
        <v>285</v>
      </c>
      <c r="B139" s="3" t="s">
        <v>286</v>
      </c>
      <c r="C139" s="3" t="s">
        <v>75</v>
      </c>
      <c r="D139" s="3" t="s">
        <v>24</v>
      </c>
      <c r="E139" s="3" t="s">
        <v>62</v>
      </c>
      <c r="F139" s="3" t="s">
        <v>35</v>
      </c>
      <c r="G139" s="4" t="n">
        <v>2</v>
      </c>
      <c r="H139" s="5" t="n">
        <v>1200</v>
      </c>
      <c r="I139" s="5" t="n">
        <v>2400</v>
      </c>
      <c r="J139" s="5" t="n">
        <v>1680</v>
      </c>
    </row>
    <row r="140" customFormat="false" ht="15" hidden="false" customHeight="false" outlineLevel="0" collapsed="false">
      <c r="A140" s="6" t="s">
        <v>287</v>
      </c>
      <c r="B140" s="6" t="s">
        <v>288</v>
      </c>
      <c r="C140" s="6" t="s">
        <v>23</v>
      </c>
      <c r="D140" s="6" t="s">
        <v>24</v>
      </c>
      <c r="E140" s="6" t="s">
        <v>40</v>
      </c>
      <c r="F140" s="6" t="s">
        <v>26</v>
      </c>
      <c r="G140" s="7" t="n">
        <v>16</v>
      </c>
      <c r="H140" s="8" t="n">
        <v>320</v>
      </c>
      <c r="I140" s="8" t="n">
        <v>5120</v>
      </c>
      <c r="J140" s="8" t="n">
        <v>1433.6</v>
      </c>
    </row>
    <row r="141" customFormat="false" ht="15" hidden="false" customHeight="false" outlineLevel="0" collapsed="false">
      <c r="A141" s="3" t="s">
        <v>289</v>
      </c>
      <c r="B141" s="3" t="s">
        <v>288</v>
      </c>
      <c r="C141" s="3" t="s">
        <v>13</v>
      </c>
      <c r="D141" s="3" t="s">
        <v>14</v>
      </c>
      <c r="E141" s="3" t="s">
        <v>44</v>
      </c>
      <c r="F141" s="3" t="s">
        <v>26</v>
      </c>
      <c r="G141" s="4" t="n">
        <v>10</v>
      </c>
      <c r="H141" s="5" t="n">
        <v>75</v>
      </c>
      <c r="I141" s="5" t="n">
        <v>750</v>
      </c>
      <c r="J141" s="5" t="n">
        <v>300</v>
      </c>
    </row>
    <row r="142" customFormat="false" ht="15" hidden="false" customHeight="false" outlineLevel="0" collapsed="false">
      <c r="A142" s="6" t="s">
        <v>290</v>
      </c>
      <c r="B142" s="6" t="s">
        <v>291</v>
      </c>
      <c r="C142" s="6" t="s">
        <v>19</v>
      </c>
      <c r="D142" s="6" t="s">
        <v>20</v>
      </c>
      <c r="E142" s="6" t="s">
        <v>15</v>
      </c>
      <c r="F142" s="6" t="s">
        <v>16</v>
      </c>
      <c r="G142" s="7" t="n">
        <v>20</v>
      </c>
      <c r="H142" s="8" t="n">
        <v>200</v>
      </c>
      <c r="I142" s="8" t="n">
        <v>4000</v>
      </c>
      <c r="J142" s="8" t="n">
        <v>2000</v>
      </c>
    </row>
    <row r="143" customFormat="false" ht="15" hidden="false" customHeight="false" outlineLevel="0" collapsed="false">
      <c r="A143" s="3" t="s">
        <v>292</v>
      </c>
      <c r="B143" s="3" t="s">
        <v>293</v>
      </c>
      <c r="C143" s="3" t="s">
        <v>31</v>
      </c>
      <c r="D143" s="3" t="s">
        <v>20</v>
      </c>
      <c r="E143" s="3" t="s">
        <v>34</v>
      </c>
      <c r="F143" s="3" t="s">
        <v>35</v>
      </c>
      <c r="G143" s="4" t="n">
        <v>10</v>
      </c>
      <c r="H143" s="5" t="n">
        <v>800</v>
      </c>
      <c r="I143" s="5" t="n">
        <v>8000</v>
      </c>
      <c r="J143" s="5" t="n">
        <v>5200</v>
      </c>
    </row>
    <row r="144" customFormat="false" ht="15" hidden="false" customHeight="false" outlineLevel="0" collapsed="false">
      <c r="A144" s="6" t="s">
        <v>294</v>
      </c>
      <c r="B144" s="6" t="s">
        <v>291</v>
      </c>
      <c r="C144" s="6" t="s">
        <v>75</v>
      </c>
      <c r="D144" s="6" t="s">
        <v>24</v>
      </c>
      <c r="E144" s="6" t="s">
        <v>21</v>
      </c>
      <c r="F144" s="6" t="s">
        <v>16</v>
      </c>
      <c r="G144" s="7" t="n">
        <v>2</v>
      </c>
      <c r="H144" s="8" t="n">
        <v>100</v>
      </c>
      <c r="I144" s="8" t="n">
        <v>200</v>
      </c>
      <c r="J144" s="8" t="n">
        <v>90</v>
      </c>
    </row>
    <row r="145" customFormat="false" ht="15" hidden="false" customHeight="false" outlineLevel="0" collapsed="false">
      <c r="A145" s="3" t="s">
        <v>295</v>
      </c>
      <c r="B145" s="3" t="s">
        <v>296</v>
      </c>
      <c r="C145" s="3" t="s">
        <v>13</v>
      </c>
      <c r="D145" s="3" t="s">
        <v>14</v>
      </c>
      <c r="E145" s="3" t="s">
        <v>50</v>
      </c>
      <c r="F145" s="3" t="s">
        <v>16</v>
      </c>
      <c r="G145" s="4" t="n">
        <v>9</v>
      </c>
      <c r="H145" s="5" t="n">
        <v>150</v>
      </c>
      <c r="I145" s="5" t="n">
        <v>1350</v>
      </c>
      <c r="J145" s="5" t="n">
        <v>742.5</v>
      </c>
    </row>
    <row r="146" customFormat="false" ht="15" hidden="false" customHeight="false" outlineLevel="0" collapsed="false">
      <c r="A146" s="6" t="s">
        <v>297</v>
      </c>
      <c r="B146" s="6" t="s">
        <v>288</v>
      </c>
      <c r="C146" s="6" t="s">
        <v>13</v>
      </c>
      <c r="D146" s="6" t="s">
        <v>14</v>
      </c>
      <c r="E146" s="6" t="s">
        <v>25</v>
      </c>
      <c r="F146" s="6" t="s">
        <v>26</v>
      </c>
      <c r="G146" s="7" t="n">
        <v>18</v>
      </c>
      <c r="H146" s="8" t="n">
        <v>850</v>
      </c>
      <c r="I146" s="8" t="n">
        <v>15300</v>
      </c>
      <c r="J146" s="8" t="n">
        <v>3366</v>
      </c>
    </row>
    <row r="147" customFormat="false" ht="15" hidden="false" customHeight="false" outlineLevel="0" collapsed="false">
      <c r="A147" s="9" t="s">
        <v>298</v>
      </c>
      <c r="B147" s="10"/>
      <c r="C147" s="10"/>
      <c r="D147" s="10"/>
      <c r="E147" s="10"/>
      <c r="F147" s="10"/>
      <c r="G147" s="11" t="n">
        <f aca="false">SUM(G3:G146)</f>
        <v>1550</v>
      </c>
      <c r="H147" s="10"/>
      <c r="I147" s="12" t="n">
        <f aca="false">SUM(I3:I146)</f>
        <v>721030</v>
      </c>
      <c r="J147" s="12" t="n">
        <f aca="false">SUM(J3:J146)</f>
        <v>374692.4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18"/>
    <col collapsed="false" customWidth="true" hidden="false" outlineLevel="0" max="5" min="5" style="0" width="18"/>
    <col collapsed="false" customWidth="true" hidden="false" outlineLevel="0" max="12" min="7" style="0" width="16"/>
  </cols>
  <sheetData>
    <row r="1" customFormat="false" ht="31.5" hidden="false" customHeight="true" outlineLevel="0" collapsed="false">
      <c r="A1" s="13" t="s">
        <v>299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customFormat="false" ht="15" hidden="false" customHeight="false" outlineLevel="0" collapsed="false">
      <c r="A3" s="14" t="s">
        <v>300</v>
      </c>
      <c r="C3" s="14" t="s">
        <v>301</v>
      </c>
      <c r="E3" s="14" t="s">
        <v>302</v>
      </c>
      <c r="G3" s="14" t="s">
        <v>303</v>
      </c>
      <c r="I3" s="14" t="s">
        <v>304</v>
      </c>
      <c r="K3" s="14" t="s">
        <v>305</v>
      </c>
    </row>
    <row r="4" customFormat="false" ht="30" hidden="false" customHeight="true" outlineLevel="0" collapsed="false">
      <c r="A4" s="15" t="n">
        <f aca="false">'Sales Data'!I147</f>
        <v>721030</v>
      </c>
      <c r="C4" s="15" t="n">
        <f aca="false">'Sales Data'!J147</f>
        <v>374692.4</v>
      </c>
      <c r="E4" s="16" t="n">
        <f aca="false">COUNTA('Sales Data'!A3:A146)</f>
        <v>144</v>
      </c>
      <c r="G4" s="16" t="n">
        <f aca="false">'Sales Data'!G147</f>
        <v>1550</v>
      </c>
      <c r="I4" s="15" t="n">
        <f aca="false">A4/E4</f>
        <v>5007.15277777778</v>
      </c>
      <c r="K4" s="17" t="n">
        <f aca="false">C4/A4</f>
        <v>0.519662704741828</v>
      </c>
    </row>
    <row r="8" customFormat="false" ht="15" hidden="false" customHeight="false" outlineLevel="0" collapsed="false">
      <c r="A8" s="18" t="s">
        <v>306</v>
      </c>
      <c r="G8" s="18" t="s">
        <v>307</v>
      </c>
    </row>
    <row r="9" customFormat="false" ht="15" hidden="false" customHeight="false" outlineLevel="0" collapsed="false">
      <c r="A9" s="14" t="s">
        <v>308</v>
      </c>
      <c r="B9" s="14" t="s">
        <v>9</v>
      </c>
      <c r="C9" s="14" t="s">
        <v>10</v>
      </c>
      <c r="D9" s="14" t="s">
        <v>309</v>
      </c>
      <c r="E9" s="14" t="s">
        <v>310</v>
      </c>
      <c r="G9" s="14" t="s">
        <v>4</v>
      </c>
      <c r="H9" s="14" t="s">
        <v>9</v>
      </c>
      <c r="I9" s="14" t="s">
        <v>10</v>
      </c>
      <c r="J9" s="14" t="s">
        <v>310</v>
      </c>
    </row>
    <row r="10" customFormat="false" ht="15" hidden="false" customHeight="false" outlineLevel="0" collapsed="false">
      <c r="A10" s="19" t="s">
        <v>311</v>
      </c>
      <c r="B10" s="8" t="n">
        <f aca="false">SUMPRODUCT(('Sales Data'!B3:B146&gt;="2024-01-01")*('Sales Data'!B3:B146&lt;"2024-01-32")*'Sales Data'!I3:I146)</f>
        <v>24005</v>
      </c>
      <c r="C10" s="8" t="n">
        <f aca="false">SUMPRODUCT(('Sales Data'!B3:B146&gt;="2024-01-01")*('Sales Data'!B3:B146&lt;"2024-01-32")*'Sales Data'!J3:J146)</f>
        <v>9350.4</v>
      </c>
      <c r="D10" s="20" t="n">
        <f aca="false">SUMPRODUCT(('Sales Data'!B3:B146&gt;="2024-01-01")*('Sales Data'!B3:B146&lt;"2024-01-32")*'Sales Data'!G3:G146)</f>
        <v>101</v>
      </c>
      <c r="E10" s="20" t="n">
        <f aca="false">SUMPRODUCT(('Sales Data'!B3:B146&gt;="2024-01-01")*('Sales Data'!B3:B146&lt;"2024-01-32")*1)</f>
        <v>13</v>
      </c>
      <c r="G10" s="19" t="s">
        <v>14</v>
      </c>
      <c r="H10" s="8" t="n">
        <f aca="false">SUMPRODUCT(('Sales Data'!D3:D146="North")*'Sales Data'!I3:I146)</f>
        <v>274895</v>
      </c>
      <c r="I10" s="8" t="n">
        <f aca="false">SUMPRODUCT(('Sales Data'!D3:D146="North")*'Sales Data'!J3:J146)</f>
        <v>142171.1</v>
      </c>
      <c r="J10" s="20" t="n">
        <f aca="false">COUNTIF('Sales Data'!D3:D146,"North")</f>
        <v>36</v>
      </c>
    </row>
    <row r="11" customFormat="false" ht="15" hidden="false" customHeight="false" outlineLevel="0" collapsed="false">
      <c r="A11" s="19" t="s">
        <v>312</v>
      </c>
      <c r="B11" s="5" t="n">
        <f aca="false">SUMPRODUCT(('Sales Data'!B3:B146&gt;="2024-02-01")*('Sales Data'!B3:B146&lt;"2024-02-32")*'Sales Data'!I3:I146)</f>
        <v>65190</v>
      </c>
      <c r="C11" s="5" t="n">
        <f aca="false">SUMPRODUCT(('Sales Data'!B3:B146&gt;="2024-02-01")*('Sales Data'!B3:B146&lt;"2024-02-32")*'Sales Data'!J3:J146)</f>
        <v>37268.7</v>
      </c>
      <c r="D11" s="21" t="n">
        <f aca="false">SUMPRODUCT(('Sales Data'!B3:B146&gt;="2024-02-01")*('Sales Data'!B3:B146&lt;"2024-02-32")*'Sales Data'!G3:G146)</f>
        <v>134</v>
      </c>
      <c r="E11" s="21" t="n">
        <f aca="false">SUMPRODUCT(('Sales Data'!B3:B146&gt;="2024-02-01")*('Sales Data'!B3:B146&lt;"2024-02-32")*1)</f>
        <v>13</v>
      </c>
      <c r="G11" s="19" t="s">
        <v>20</v>
      </c>
      <c r="H11" s="5" t="n">
        <f aca="false">SUMPRODUCT(('Sales Data'!D3:D146="South")*'Sales Data'!I3:I146)</f>
        <v>159670</v>
      </c>
      <c r="I11" s="5" t="n">
        <f aca="false">SUMPRODUCT(('Sales Data'!D3:D146="South")*'Sales Data'!J3:J146)</f>
        <v>87206.6</v>
      </c>
      <c r="J11" s="21" t="n">
        <f aca="false">COUNTIF('Sales Data'!D3:D146,"South")</f>
        <v>40</v>
      </c>
    </row>
    <row r="12" customFormat="false" ht="15" hidden="false" customHeight="false" outlineLevel="0" collapsed="false">
      <c r="A12" s="19" t="s">
        <v>313</v>
      </c>
      <c r="B12" s="8" t="n">
        <f aca="false">SUMPRODUCT(('Sales Data'!B3:B146&gt;="2024-03-01")*('Sales Data'!B3:B146&lt;"2024-03-32")*'Sales Data'!I3:I146)</f>
        <v>95800</v>
      </c>
      <c r="C12" s="8" t="n">
        <f aca="false">SUMPRODUCT(('Sales Data'!B3:B146&gt;="2024-03-01")*('Sales Data'!B3:B146&lt;"2024-03-32")*'Sales Data'!J3:J146)</f>
        <v>55847</v>
      </c>
      <c r="D12" s="20" t="n">
        <f aca="false">SUMPRODUCT(('Sales Data'!B3:B146&gt;="2024-03-01")*('Sales Data'!B3:B146&lt;"2024-03-32")*'Sales Data'!G3:G146)</f>
        <v>129</v>
      </c>
      <c r="E12" s="20" t="n">
        <f aca="false">SUMPRODUCT(('Sales Data'!B3:B146&gt;="2024-03-01")*('Sales Data'!B3:B146&lt;"2024-03-32")*1)</f>
        <v>12</v>
      </c>
      <c r="G12" s="19" t="s">
        <v>39</v>
      </c>
      <c r="H12" s="8" t="n">
        <f aca="false">SUMPRODUCT(('Sales Data'!D3:D146="East")*'Sales Data'!I3:I146)</f>
        <v>127935</v>
      </c>
      <c r="I12" s="8" t="n">
        <f aca="false">SUMPRODUCT(('Sales Data'!D3:D146="East")*'Sales Data'!J3:J146)</f>
        <v>62176.3</v>
      </c>
      <c r="J12" s="20" t="n">
        <f aca="false">COUNTIF('Sales Data'!D3:D146,"East")</f>
        <v>37</v>
      </c>
    </row>
    <row r="13" customFormat="false" ht="15" hidden="false" customHeight="false" outlineLevel="0" collapsed="false">
      <c r="A13" s="19" t="s">
        <v>314</v>
      </c>
      <c r="B13" s="5" t="n">
        <f aca="false">SUMPRODUCT(('Sales Data'!B3:B146&gt;="2024-04-01")*('Sales Data'!B3:B146&lt;"2024-04-32")*'Sales Data'!I3:I146)</f>
        <v>103235</v>
      </c>
      <c r="C13" s="5" t="n">
        <f aca="false">SUMPRODUCT(('Sales Data'!B3:B146&gt;="2024-04-01")*('Sales Data'!B3:B146&lt;"2024-04-32")*'Sales Data'!J3:J146)</f>
        <v>45113.8</v>
      </c>
      <c r="D13" s="21" t="n">
        <f aca="false">SUMPRODUCT(('Sales Data'!B3:B146&gt;="2024-04-01")*('Sales Data'!B3:B146&lt;"2024-04-32")*'Sales Data'!G3:G146)</f>
        <v>167</v>
      </c>
      <c r="E13" s="21" t="n">
        <f aca="false">SUMPRODUCT(('Sales Data'!B3:B146&gt;="2024-04-01")*('Sales Data'!B3:B146&lt;"2024-04-32")*1)</f>
        <v>14</v>
      </c>
      <c r="G13" s="19" t="s">
        <v>24</v>
      </c>
      <c r="H13" s="5" t="n">
        <f aca="false">SUMPRODUCT(('Sales Data'!D3:D146="West")*'Sales Data'!I3:I146)</f>
        <v>158530</v>
      </c>
      <c r="I13" s="5" t="n">
        <f aca="false">SUMPRODUCT(('Sales Data'!D3:D146="West")*'Sales Data'!J3:J146)</f>
        <v>83138.4</v>
      </c>
      <c r="J13" s="21" t="n">
        <f aca="false">COUNTIF('Sales Data'!D3:D146,"West")</f>
        <v>31</v>
      </c>
    </row>
    <row r="14" customFormat="false" ht="15" hidden="false" customHeight="false" outlineLevel="0" collapsed="false">
      <c r="A14" s="19" t="s">
        <v>315</v>
      </c>
      <c r="B14" s="8" t="n">
        <f aca="false">SUMPRODUCT(('Sales Data'!B3:B146&gt;="2024-05-01")*('Sales Data'!B3:B146&lt;"2024-05-32")*'Sales Data'!I3:I146)</f>
        <v>41300</v>
      </c>
      <c r="C14" s="8" t="n">
        <f aca="false">SUMPRODUCT(('Sales Data'!B3:B146&gt;="2024-05-01")*('Sales Data'!B3:B146&lt;"2024-05-32")*'Sales Data'!J3:J146)</f>
        <v>19721</v>
      </c>
      <c r="D14" s="20" t="n">
        <f aca="false">SUMPRODUCT(('Sales Data'!B3:B146&gt;="2024-05-01")*('Sales Data'!B3:B146&lt;"2024-05-32")*'Sales Data'!G3:G146)</f>
        <v>97</v>
      </c>
      <c r="E14" s="20" t="n">
        <f aca="false">SUMPRODUCT(('Sales Data'!B3:B146&gt;="2024-05-01")*('Sales Data'!B3:B146&lt;"2024-05-32")*1)</f>
        <v>10</v>
      </c>
      <c r="G14" s="10" t="s">
        <v>316</v>
      </c>
      <c r="H14" s="12" t="n">
        <f aca="false">SUM(H10:H13)</f>
        <v>721030</v>
      </c>
      <c r="I14" s="12" t="n">
        <f aca="false">SUM(I10:I13)</f>
        <v>374692.4</v>
      </c>
      <c r="J14" s="22" t="n">
        <f aca="false">SUM(J10:J13)</f>
        <v>144</v>
      </c>
    </row>
    <row r="15" customFormat="false" ht="15" hidden="false" customHeight="false" outlineLevel="0" collapsed="false">
      <c r="A15" s="19" t="s">
        <v>317</v>
      </c>
      <c r="B15" s="5" t="n">
        <f aca="false">SUMPRODUCT(('Sales Data'!B3:B146&gt;="2024-06-01")*('Sales Data'!B3:B146&lt;"2024-06-32")*'Sales Data'!I3:I146)</f>
        <v>42665</v>
      </c>
      <c r="C15" s="5" t="n">
        <f aca="false">SUMPRODUCT(('Sales Data'!B3:B146&gt;="2024-06-01")*('Sales Data'!B3:B146&lt;"2024-06-32")*'Sales Data'!J3:J146)</f>
        <v>11919.2</v>
      </c>
      <c r="D15" s="21" t="n">
        <f aca="false">SUMPRODUCT(('Sales Data'!B3:B146&gt;="2024-06-01")*('Sales Data'!B3:B146&lt;"2024-06-32")*'Sales Data'!G3:G146)</f>
        <v>91</v>
      </c>
      <c r="E15" s="21" t="n">
        <f aca="false">SUMPRODUCT(('Sales Data'!B3:B146&gt;="2024-06-01")*('Sales Data'!B3:B146&lt;"2024-06-32")*1)</f>
        <v>11</v>
      </c>
    </row>
    <row r="16" customFormat="false" ht="15" hidden="false" customHeight="false" outlineLevel="0" collapsed="false">
      <c r="A16" s="19" t="s">
        <v>318</v>
      </c>
      <c r="B16" s="8" t="n">
        <f aca="false">SUMPRODUCT(('Sales Data'!B3:B146&gt;="2024-07-01")*('Sales Data'!B3:B146&lt;"2024-07-32")*'Sales Data'!I3:I146)</f>
        <v>46750</v>
      </c>
      <c r="C16" s="8" t="n">
        <f aca="false">SUMPRODUCT(('Sales Data'!B3:B146&gt;="2024-07-01")*('Sales Data'!B3:B146&lt;"2024-07-32")*'Sales Data'!J3:J146)</f>
        <v>28605</v>
      </c>
      <c r="D16" s="20" t="n">
        <f aca="false">SUMPRODUCT(('Sales Data'!B3:B146&gt;="2024-07-01")*('Sales Data'!B3:B146&lt;"2024-07-32")*'Sales Data'!G3:G146)</f>
        <v>131</v>
      </c>
      <c r="E16" s="20" t="n">
        <f aca="false">SUMPRODUCT(('Sales Data'!B3:B146&gt;="2024-07-01")*('Sales Data'!B3:B146&lt;"2024-07-32")*1)</f>
        <v>12</v>
      </c>
      <c r="G16" s="18" t="s">
        <v>319</v>
      </c>
    </row>
    <row r="17" customFormat="false" ht="15" hidden="false" customHeight="false" outlineLevel="0" collapsed="false">
      <c r="A17" s="19" t="s">
        <v>320</v>
      </c>
      <c r="B17" s="5" t="n">
        <f aca="false">SUMPRODUCT(('Sales Data'!B3:B146&gt;="2024-08-01")*('Sales Data'!B3:B146&lt;"2024-08-32")*'Sales Data'!I3:I146)</f>
        <v>62600</v>
      </c>
      <c r="C17" s="5" t="n">
        <f aca="false">SUMPRODUCT(('Sales Data'!B3:B146&gt;="2024-08-01")*('Sales Data'!B3:B146&lt;"2024-08-32")*'Sales Data'!J3:J146)</f>
        <v>35791</v>
      </c>
      <c r="D17" s="21" t="n">
        <f aca="false">SUMPRODUCT(('Sales Data'!B3:B146&gt;="2024-08-01")*('Sales Data'!B3:B146&lt;"2024-08-32")*'Sales Data'!G3:G146)</f>
        <v>154</v>
      </c>
      <c r="E17" s="21" t="n">
        <f aca="false">SUMPRODUCT(('Sales Data'!B3:B146&gt;="2024-08-01")*('Sales Data'!B3:B146&lt;"2024-08-32")*1)</f>
        <v>14</v>
      </c>
      <c r="G17" s="14" t="s">
        <v>6</v>
      </c>
      <c r="H17" s="14" t="s">
        <v>9</v>
      </c>
      <c r="I17" s="14" t="s">
        <v>10</v>
      </c>
      <c r="J17" s="14" t="s">
        <v>309</v>
      </c>
    </row>
    <row r="18" customFormat="false" ht="15" hidden="false" customHeight="false" outlineLevel="0" collapsed="false">
      <c r="A18" s="19" t="s">
        <v>321</v>
      </c>
      <c r="B18" s="8" t="n">
        <f aca="false">SUMPRODUCT(('Sales Data'!B3:B146&gt;="2024-09-01")*('Sales Data'!B3:B146&lt;"2024-09-32")*'Sales Data'!I3:I146)</f>
        <v>32290</v>
      </c>
      <c r="C18" s="8" t="n">
        <f aca="false">SUMPRODUCT(('Sales Data'!B3:B146&gt;="2024-09-01")*('Sales Data'!B3:B146&lt;"2024-09-32")*'Sales Data'!J3:J146)</f>
        <v>15355.2</v>
      </c>
      <c r="D18" s="20" t="n">
        <f aca="false">SUMPRODUCT(('Sales Data'!B3:B146&gt;="2024-09-01")*('Sales Data'!B3:B146&lt;"2024-09-32")*'Sales Data'!G3:G146)</f>
        <v>113</v>
      </c>
      <c r="E18" s="20" t="n">
        <f aca="false">SUMPRODUCT(('Sales Data'!B3:B146&gt;="2024-09-01")*('Sales Data'!B3:B146&lt;"2024-09-32")*1)</f>
        <v>8</v>
      </c>
      <c r="G18" s="19" t="s">
        <v>26</v>
      </c>
      <c r="H18" s="8" t="n">
        <f aca="false">SUMPRODUCT(('Sales Data'!F3:F146="Electronics")*'Sales Data'!I3:I146)</f>
        <v>226030</v>
      </c>
      <c r="I18" s="8" t="n">
        <f aca="false">SUMPRODUCT(('Sales Data'!F3:F146="Electronics")*'Sales Data'!J3:J146)</f>
        <v>56037.4</v>
      </c>
      <c r="J18" s="20" t="n">
        <f aca="false">SUMPRODUCT(('Sales Data'!F3:F146="Electronics")*'Sales Data'!G3:G146)</f>
        <v>575</v>
      </c>
    </row>
    <row r="19" customFormat="false" ht="15" hidden="false" customHeight="false" outlineLevel="0" collapsed="false">
      <c r="A19" s="19" t="s">
        <v>322</v>
      </c>
      <c r="B19" s="5" t="n">
        <f aca="false">SUMPRODUCT(('Sales Data'!B3:B146&gt;="2024-10-01")*('Sales Data'!B3:B146&lt;"2024-10-32")*'Sales Data'!I3:I146)</f>
        <v>86665</v>
      </c>
      <c r="C19" s="5" t="n">
        <f aca="false">SUMPRODUCT(('Sales Data'!B3:B146&gt;="2024-10-01")*('Sales Data'!B3:B146&lt;"2024-10-32")*'Sales Data'!J3:J146)</f>
        <v>52629.2</v>
      </c>
      <c r="D19" s="21" t="n">
        <f aca="false">SUMPRODUCT(('Sales Data'!B3:B146&gt;="2024-10-01")*('Sales Data'!B3:B146&lt;"2024-10-32")*'Sales Data'!G3:G146)</f>
        <v>155</v>
      </c>
      <c r="E19" s="21" t="n">
        <f aca="false">SUMPRODUCT(('Sales Data'!B3:B146&gt;="2024-10-01")*('Sales Data'!B3:B146&lt;"2024-10-32")*1)</f>
        <v>14</v>
      </c>
      <c r="G19" s="19" t="s">
        <v>35</v>
      </c>
      <c r="H19" s="5" t="n">
        <f aca="false">SUMPRODUCT(('Sales Data'!F3:F146="Software")*'Sales Data'!I3:I146)</f>
        <v>423300</v>
      </c>
      <c r="I19" s="5" t="n">
        <f aca="false">SUMPRODUCT(('Sales Data'!F3:F146="Software")*'Sales Data'!J3:J146)</f>
        <v>283140</v>
      </c>
      <c r="J19" s="21" t="n">
        <f aca="false">SUMPRODUCT(('Sales Data'!F3:F146="Software")*'Sales Data'!G3:G146)</f>
        <v>509</v>
      </c>
    </row>
    <row r="20" customFormat="false" ht="15" hidden="false" customHeight="false" outlineLevel="0" collapsed="false">
      <c r="A20" s="19" t="s">
        <v>323</v>
      </c>
      <c r="B20" s="8" t="n">
        <f aca="false">SUMPRODUCT(('Sales Data'!B3:B146&gt;="2024-11-01")*('Sales Data'!B3:B146&lt;"2024-11-32")*'Sales Data'!I3:I146)</f>
        <v>82660</v>
      </c>
      <c r="C20" s="8" t="n">
        <f aca="false">SUMPRODUCT(('Sales Data'!B3:B146&gt;="2024-11-01")*('Sales Data'!B3:B146&lt;"2024-11-32")*'Sales Data'!J3:J146)</f>
        <v>47979.8</v>
      </c>
      <c r="D20" s="20" t="n">
        <f aca="false">SUMPRODUCT(('Sales Data'!B3:B146&gt;="2024-11-01")*('Sales Data'!B3:B146&lt;"2024-11-32")*'Sales Data'!G3:G146)</f>
        <v>181</v>
      </c>
      <c r="E20" s="20" t="n">
        <f aca="false">SUMPRODUCT(('Sales Data'!B3:B146&gt;="2024-11-01")*('Sales Data'!B3:B146&lt;"2024-11-32")*1)</f>
        <v>14</v>
      </c>
      <c r="G20" s="19" t="s">
        <v>16</v>
      </c>
      <c r="H20" s="8" t="n">
        <f aca="false">SUMPRODUCT(('Sales Data'!F3:F146="Services")*'Sales Data'!I3:I146)</f>
        <v>71700</v>
      </c>
      <c r="I20" s="8" t="n">
        <f aca="false">SUMPRODUCT(('Sales Data'!F3:F146="Services")*'Sales Data'!J3:J146)</f>
        <v>35515</v>
      </c>
      <c r="J20" s="20" t="n">
        <f aca="false">SUMPRODUCT(('Sales Data'!F3:F146="Services")*'Sales Data'!G3:G146)</f>
        <v>466</v>
      </c>
    </row>
    <row r="21" customFormat="false" ht="15" hidden="false" customHeight="false" outlineLevel="0" collapsed="false">
      <c r="A21" s="19" t="s">
        <v>324</v>
      </c>
      <c r="B21" s="5" t="n">
        <f aca="false">SUMPRODUCT(('Sales Data'!B3:B146&gt;="2024-12-01")*('Sales Data'!B3:B146&lt;"2024-12-32")*'Sales Data'!I3:I146)</f>
        <v>37870</v>
      </c>
      <c r="C21" s="5" t="n">
        <f aca="false">SUMPRODUCT(('Sales Data'!B3:B146&gt;="2024-12-01")*('Sales Data'!B3:B146&lt;"2024-12-32")*'Sales Data'!J3:J146)</f>
        <v>15112.1</v>
      </c>
      <c r="D21" s="21" t="n">
        <f aca="false">SUMPRODUCT(('Sales Data'!B3:B146&gt;="2024-12-01")*('Sales Data'!B3:B146&lt;"2024-12-32")*'Sales Data'!G3:G146)</f>
        <v>97</v>
      </c>
      <c r="E21" s="21" t="n">
        <f aca="false">SUMPRODUCT(('Sales Data'!B3:B146&gt;="2024-12-01")*('Sales Data'!B3:B146&lt;"2024-12-32")*1)</f>
        <v>9</v>
      </c>
    </row>
    <row r="22" customFormat="false" ht="15" hidden="false" customHeight="false" outlineLevel="0" collapsed="false">
      <c r="A22" s="10" t="s">
        <v>316</v>
      </c>
      <c r="B22" s="12" t="n">
        <f aca="false">SUM(B10:B21)</f>
        <v>721030</v>
      </c>
      <c r="C22" s="12" t="n">
        <f aca="false">SUM(C10:C21)</f>
        <v>374692.4</v>
      </c>
      <c r="D22" s="22" t="n">
        <f aca="false">SUM(D10:D21)</f>
        <v>1550</v>
      </c>
      <c r="E22" s="22" t="n">
        <f aca="false">SUM(E10:E21)</f>
        <v>144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3" t="s">
        <v>325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</cols>
  <sheetData>
    <row r="1" customFormat="false" ht="30" hidden="false" customHeight="true" outlineLevel="0" collapsed="false">
      <c r="A1" s="23" t="s">
        <v>326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24" t="s">
        <v>327</v>
      </c>
      <c r="B2" s="24" t="s">
        <v>3</v>
      </c>
      <c r="C2" s="24" t="s">
        <v>4</v>
      </c>
      <c r="D2" s="24" t="s">
        <v>9</v>
      </c>
      <c r="E2" s="24" t="s">
        <v>10</v>
      </c>
      <c r="F2" s="24" t="s">
        <v>310</v>
      </c>
    </row>
    <row r="3" customFormat="false" ht="15" hidden="false" customHeight="false" outlineLevel="0" collapsed="false">
      <c r="A3" s="25" t="s">
        <v>328</v>
      </c>
      <c r="B3" s="26" t="s">
        <v>13</v>
      </c>
      <c r="C3" s="26" t="s">
        <v>14</v>
      </c>
      <c r="D3" s="27" t="n">
        <f aca="false">SUMPRODUCT(('Sales Data'!C3:C146="Alice Johnson")*'Sales Data'!I3:I146)</f>
        <v>205445</v>
      </c>
      <c r="E3" s="27" t="n">
        <f aca="false">SUMPRODUCT(('Sales Data'!C3:C146="Alice Johnson")*'Sales Data'!J3:J146)</f>
        <v>110403.1</v>
      </c>
      <c r="F3" s="28" t="n">
        <f aca="false">COUNTIF('Sales Data'!C3:C146,"Alice Johnson")</f>
        <v>24</v>
      </c>
    </row>
    <row r="4" customFormat="false" ht="15" hidden="false" customHeight="false" outlineLevel="0" collapsed="false">
      <c r="A4" s="29" t="s">
        <v>329</v>
      </c>
      <c r="B4" s="30" t="s">
        <v>47</v>
      </c>
      <c r="C4" s="30" t="s">
        <v>14</v>
      </c>
      <c r="D4" s="31" t="n">
        <f aca="false">SUMPRODUCT(('Sales Data'!C3:C146="Bob Smith")*'Sales Data'!I3:I146)</f>
        <v>69450</v>
      </c>
      <c r="E4" s="31" t="n">
        <f aca="false">SUMPRODUCT(('Sales Data'!C3:C146="Bob Smith")*'Sales Data'!J3:J146)</f>
        <v>31768</v>
      </c>
      <c r="F4" s="32" t="n">
        <f aca="false">COUNTIF('Sales Data'!C3:C146,"Bob Smith")</f>
        <v>12</v>
      </c>
    </row>
    <row r="5" customFormat="false" ht="15" hidden="false" customHeight="false" outlineLevel="0" collapsed="false">
      <c r="A5" s="25" t="s">
        <v>330</v>
      </c>
      <c r="B5" s="26" t="s">
        <v>19</v>
      </c>
      <c r="C5" s="26" t="s">
        <v>20</v>
      </c>
      <c r="D5" s="27" t="n">
        <f aca="false">SUMPRODUCT(('Sales Data'!C3:C146="Carol White")*'Sales Data'!I3:I146)</f>
        <v>85490</v>
      </c>
      <c r="E5" s="27" t="n">
        <f aca="false">SUMPRODUCT(('Sales Data'!C3:C146="Carol White")*'Sales Data'!J3:J146)</f>
        <v>48798.2</v>
      </c>
      <c r="F5" s="28" t="n">
        <f aca="false">COUNTIF('Sales Data'!C3:C146,"Carol White")</f>
        <v>16</v>
      </c>
    </row>
    <row r="6" customFormat="false" ht="15" hidden="false" customHeight="false" outlineLevel="0" collapsed="false">
      <c r="A6" s="29" t="s">
        <v>331</v>
      </c>
      <c r="B6" s="30" t="s">
        <v>31</v>
      </c>
      <c r="C6" s="30" t="s">
        <v>20</v>
      </c>
      <c r="D6" s="31" t="n">
        <f aca="false">SUMPRODUCT(('Sales Data'!C3:C146="David Brown")*'Sales Data'!I3:I146)</f>
        <v>74180</v>
      </c>
      <c r="E6" s="31" t="n">
        <f aca="false">SUMPRODUCT(('Sales Data'!C3:C146="David Brown")*'Sales Data'!J3:J146)</f>
        <v>38408.4</v>
      </c>
      <c r="F6" s="32" t="n">
        <f aca="false">COUNTIF('Sales Data'!C3:C146,"David Brown")</f>
        <v>24</v>
      </c>
    </row>
    <row r="7" customFormat="false" ht="15" hidden="false" customHeight="false" outlineLevel="0" collapsed="false">
      <c r="A7" s="25" t="s">
        <v>332</v>
      </c>
      <c r="B7" s="26" t="s">
        <v>38</v>
      </c>
      <c r="C7" s="26" t="s">
        <v>39</v>
      </c>
      <c r="D7" s="27" t="n">
        <f aca="false">SUMPRODUCT(('Sales Data'!C3:C146="Eva Martinez")*'Sales Data'!I3:I146)</f>
        <v>71790</v>
      </c>
      <c r="E7" s="27" t="n">
        <f aca="false">SUMPRODUCT(('Sales Data'!C3:C146="Eva Martinez")*'Sales Data'!J3:J146)</f>
        <v>30844.2</v>
      </c>
      <c r="F7" s="28" t="n">
        <f aca="false">COUNTIF('Sales Data'!C3:C146,"Eva Martinez")</f>
        <v>19</v>
      </c>
    </row>
    <row r="8" customFormat="false" ht="15" hidden="false" customHeight="false" outlineLevel="0" collapsed="false">
      <c r="A8" s="29" t="s">
        <v>333</v>
      </c>
      <c r="B8" s="30" t="s">
        <v>43</v>
      </c>
      <c r="C8" s="30" t="s">
        <v>39</v>
      </c>
      <c r="D8" s="31" t="n">
        <f aca="false">SUMPRODUCT(('Sales Data'!C3:C146="Frank Lee")*'Sales Data'!I3:I146)</f>
        <v>56145</v>
      </c>
      <c r="E8" s="31" t="n">
        <f aca="false">SUMPRODUCT(('Sales Data'!C3:C146="Frank Lee")*'Sales Data'!J3:J146)</f>
        <v>31332.1</v>
      </c>
      <c r="F8" s="32" t="n">
        <f aca="false">COUNTIF('Sales Data'!C3:C146,"Frank Lee")</f>
        <v>18</v>
      </c>
    </row>
    <row r="9" customFormat="false" ht="15" hidden="false" customHeight="false" outlineLevel="0" collapsed="false">
      <c r="A9" s="25" t="s">
        <v>334</v>
      </c>
      <c r="B9" s="26" t="s">
        <v>23</v>
      </c>
      <c r="C9" s="26" t="s">
        <v>24</v>
      </c>
      <c r="D9" s="27" t="n">
        <f aca="false">SUMPRODUCT(('Sales Data'!C3:C146="Grace Kim")*'Sales Data'!I3:I146)</f>
        <v>83770</v>
      </c>
      <c r="E9" s="27" t="n">
        <f aca="false">SUMPRODUCT(('Sales Data'!C3:C146="Grace Kim")*'Sales Data'!J3:J146)</f>
        <v>45316.6</v>
      </c>
      <c r="F9" s="28" t="n">
        <f aca="false">COUNTIF('Sales Data'!C3:C146,"Grace Kim")</f>
        <v>17</v>
      </c>
    </row>
    <row r="10" customFormat="false" ht="15" hidden="false" customHeight="false" outlineLevel="0" collapsed="false">
      <c r="A10" s="29" t="s">
        <v>335</v>
      </c>
      <c r="B10" s="30" t="s">
        <v>75</v>
      </c>
      <c r="C10" s="30" t="s">
        <v>24</v>
      </c>
      <c r="D10" s="31" t="n">
        <f aca="false">SUMPRODUCT(('Sales Data'!C3:C146="Henry Davis")*'Sales Data'!I3:I146)</f>
        <v>74760</v>
      </c>
      <c r="E10" s="31" t="n">
        <f aca="false">SUMPRODUCT(('Sales Data'!C3:C146="Henry Davis")*'Sales Data'!J3:J146)</f>
        <v>37821.8</v>
      </c>
      <c r="F10" s="32" t="n">
        <f aca="false">COUNTIF('Sales Data'!C3:C146,"Henry Davis")</f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2026-04-08T04:49:55Z</dcterms:created>
  <dc:creator>openpyxl</dc:creator>
  <dc:description/>
  <dc:language>en-US</dc:language>
  <cp:lastModifiedBy/>
  <dcterms:modified xsi:type="dcterms:W3CDTF">2026-04-08T04:50:11Z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